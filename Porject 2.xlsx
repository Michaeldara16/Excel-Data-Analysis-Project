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mc:AlternateContent xmlns:mc="http://schemas.openxmlformats.org/markup-compatibility/2006">
    <mc:Choice Requires="x15">
      <x15ac:absPath xmlns:x15ac="http://schemas.microsoft.com/office/spreadsheetml/2010/11/ac" url="C:\Users\daram\Downloads\"/>
    </mc:Choice>
  </mc:AlternateContent>
  <xr:revisionPtr revIDLastSave="0" documentId="13_ncr:1_{B30C21FB-3C22-463B-9DAE-EBB50F300967}" xr6:coauthVersionLast="47" xr6:coauthVersionMax="47" xr10:uidLastSave="{00000000-0000-0000-0000-000000000000}"/>
  <bookViews>
    <workbookView xWindow="-108" yWindow="-108" windowWidth="23256" windowHeight="12456" activeTab="2" xr2:uid="{00000000-000D-0000-FFFF-FFFF00000000}"/>
  </bookViews>
  <sheets>
    <sheet name="Sheet3" sheetId="5" r:id="rId1"/>
    <sheet name="pivots" sheetId="3" r:id="rId2"/>
    <sheet name="sales data dashborad" sheetId="4" r:id="rId3"/>
    <sheet name="Sales Data" sheetId="1" r:id="rId4"/>
  </sheets>
  <definedNames>
    <definedName name="_xlcn.WorksheetConnection_Excel_Project_2_Ecommerce_Sales2.xlsxEcom" hidden="1">Ecom[]</definedName>
    <definedName name="ExternalData_1" localSheetId="0" hidden="1">Sheet3!$A$3:$O$65</definedName>
    <definedName name="Slicer_Category">#N/A</definedName>
    <definedName name="Slicer_City">#N/A</definedName>
  </definedNames>
  <calcPr calcId="124519"/>
  <pivotCaches>
    <pivotCache cacheId="3145" r:id="rId5"/>
    <pivotCache cacheId="3263" r:id="rId6"/>
    <pivotCache cacheId="3266" r:id="rId7"/>
    <pivotCache cacheId="3269" r:id="rId8"/>
    <pivotCache cacheId="3272" r:id="rId9"/>
    <pivotCache cacheId="3275" r:id="rId10"/>
    <pivotCache cacheId="3278" r:id="rId11"/>
    <pivotCache cacheId="3281" r:id="rId12"/>
    <pivotCache cacheId="3284" r:id="rId13"/>
    <pivotCache cacheId="3287" r:id="rId14"/>
  </pivotCaches>
  <extLst>
    <ext xmlns:x14="http://schemas.microsoft.com/office/spreadsheetml/2009/9/main" uri="{876F7934-8845-4945-9796-88D515C7AA90}">
      <x14:pivotCaches>
        <pivotCache cacheId="3155"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Ecom" name="Ecom" connection="WorksheetConnection_Excel_Project_2_Ecommerce_Sales (2).xlsx!Ecom"/>
        </x15:modelTables>
        <x15:extLst>
          <ext xmlns:x16="http://schemas.microsoft.com/office/spreadsheetml/2014/11/main" uri="{9835A34E-60A6-4A7C-AAB8-D5F71C897F49}">
            <x16:modelTimeGroupings>
              <x16:modelTimeGrouping tableName="Ecom"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DA791C-FB3D-4059-81C2-83106EBC7D64}" keepAlive="1" name="ModelConnection_ExternalData_1" description="Data Model" type="5" refreshedVersion="8" minRefreshableVersion="5" saveData="1">
    <dbPr connection="Data Model Connection" command="DRILLTHROUGH MAXROWS 1000 SELECT FROM [Model] WHERE (([Measures].[Sum of Sales],[Ecom].[Order Date (Year)].&amp;[2026])) RETURN [$Ecom].[Order ID],[$Ecom].[Order Date],[$Ecom].[Customer],[$Ecom].[City],[$Ecom].[Category],[$Ecom].[Product],[$Ecom].[Quantity],[$Ecom].[Unit Price],[$Ecom].[Sales],[$Ecom].[Profit],[$Ecom].[Payment Mode],[$Ecom].[Order Date (Year)],[$Ecom].[Order Date (Quarter)],[$Ecom].[Order Date (Month)],[$Ecom].[Order Date (Month Index)]" commandType="4"/>
    <extLst>
      <ext xmlns:x15="http://schemas.microsoft.com/office/spreadsheetml/2010/11/main" uri="{DE250136-89BD-433C-8126-D09CA5730AF9}">
        <x15:connection id="" model="1"/>
      </ext>
    </extLst>
  </connection>
  <connection id="2" xr16:uid="{0AFDE469-27F0-483C-8E78-B61144EE9E8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FCE414BC-5728-4744-932F-469638193229}" name="WorksheetConnection_Excel_Project_2_Ecommerce_Sales (2).xlsx!Ecom" type="102" refreshedVersion="8" minRefreshableVersion="5">
    <extLst>
      <ext xmlns:x15="http://schemas.microsoft.com/office/spreadsheetml/2010/11/main" uri="{DE250136-89BD-433C-8126-D09CA5730AF9}">
        <x15:connection id="Ecom" autoDelete="1">
          <x15:rangePr sourceName="_xlcn.WorksheetConnection_Excel_Project_2_Ecommerce_Sales2.xlsxEcom"/>
        </x15:connection>
      </ext>
    </extLst>
  </connection>
</connections>
</file>

<file path=xl/sharedStrings.xml><?xml version="1.0" encoding="utf-8"?>
<sst xmlns="http://schemas.openxmlformats.org/spreadsheetml/2006/main" count="1226" uniqueCount="189">
  <si>
    <t>Order ID</t>
  </si>
  <si>
    <t>Order Date</t>
  </si>
  <si>
    <t>Customer</t>
  </si>
  <si>
    <t>City</t>
  </si>
  <si>
    <t>Category</t>
  </si>
  <si>
    <t>Product</t>
  </si>
  <si>
    <t>Quantity</t>
  </si>
  <si>
    <t>Unit Price</t>
  </si>
  <si>
    <t>Sales</t>
  </si>
  <si>
    <t>Profit</t>
  </si>
  <si>
    <t>Payment Mode</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</si>
  <si>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</si>
  <si>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</si>
  <si>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</si>
  <si>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</si>
  <si>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</si>
  <si>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</si>
  <si>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</si>
  <si>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</si>
  <si>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</si>
  <si>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</si>
  <si>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</si>
  <si>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</si>
  <si>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</si>
  <si>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</si>
  <si>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</si>
  <si>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</si>
  <si>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</si>
  <si>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</si>
  <si>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</si>
  <si>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</si>
  <si>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</si>
  <si>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</si>
  <si>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</si>
  <si>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</si>
  <si>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</si>
  <si>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</si>
  <si>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</si>
  <si>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</si>
  <si>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</si>
  <si>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</si>
  <si>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</si>
  <si>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</si>
  <si>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</si>
  <si>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</si>
  <si>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</si>
  <si>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</si>
  <si>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</si>
  <si>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</si>
  <si>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</si>
  <si>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</si>
  <si>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</si>
  <si>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</si>
  <si>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</si>
  <si>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</si>
  <si>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</si>
  <si>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</si>
  <si>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</si>
  <si>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</si>
  <si>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</si>
  <si>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</si>
  <si>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</si>
  <si>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</si>
  <si>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</si>
  <si>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</si>
  <si>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</si>
  <si>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</si>
  <si>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</si>
  <si>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</si>
  <si>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</si>
  <si>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</si>
  <si>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</si>
  <si>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</si>
  <si>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</si>
  <si>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</si>
  <si>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</si>
  <si>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</si>
  <si>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</si>
  <si>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</si>
  <si>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</si>
  <si>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</si>
  <si>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</si>
  <si>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</si>
  <si>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</si>
  <si>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</si>
  <si>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</si>
  <si>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</si>
  <si>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</si>
  <si>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</si>
  <si>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</si>
  <si>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</si>
  <si>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</si>
  <si>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</si>
  <si>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</si>
  <si>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</si>
  <si>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</si>
  <si>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</si>
  <si>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</si>
  <si>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</si>
  <si>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</si>
  <si>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</si>
  <si>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</si>
  <si>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</si>
  <si>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</si>
  <si>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</si>
  <si>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</si>
  <si>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</si>
  <si>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</si>
  <si>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</si>
  <si>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</si>
  <si>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</si>
  <si>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Arjun</t>
  </si>
  <si>
    <t>Priya</t>
  </si>
  <si>
    <t>Sai</t>
  </si>
  <si>
    <t>Sneha</t>
  </si>
  <si>
    <t>Pooja</t>
  </si>
  <si>
    <t>Sita</t>
  </si>
  <si>
    <t>Anjali</t>
  </si>
  <si>
    <t>Ravi</t>
  </si>
  <si>
    <t>Keerthi</t>
  </si>
  <si>
    <t>Rahul</t>
  </si>
  <si>
    <t>Divya</t>
  </si>
  <si>
    <t>Vikram</t>
  </si>
  <si>
    <t>Manoj</t>
  </si>
  <si>
    <t>Naveen</t>
  </si>
  <si>
    <t>Kiran</t>
  </si>
  <si>
    <t>Tirupati</t>
  </si>
  <si>
    <t>Nellore</t>
  </si>
  <si>
    <t>Hyderabad</t>
  </si>
  <si>
    <t>Vijayawada</t>
  </si>
  <si>
    <t>Chittoor</t>
  </si>
  <si>
    <t>Chennai</t>
  </si>
  <si>
    <t>Bengaluru</t>
  </si>
  <si>
    <t>Kadapa</t>
  </si>
  <si>
    <t>Electronics</t>
  </si>
  <si>
    <t>Grocery</t>
  </si>
  <si>
    <t>Clothing</t>
  </si>
  <si>
    <t>Furniture</t>
  </si>
  <si>
    <t>Headphones</t>
  </si>
  <si>
    <t>Rice</t>
  </si>
  <si>
    <t>Oil</t>
  </si>
  <si>
    <t>Biscuits</t>
  </si>
  <si>
    <t>Smartwatch</t>
  </si>
  <si>
    <t>Shoes</t>
  </si>
  <si>
    <t>Keyboard</t>
  </si>
  <si>
    <t>Bookshelf</t>
  </si>
  <si>
    <t>Shirt</t>
  </si>
  <si>
    <t>Chair</t>
  </si>
  <si>
    <t>Table</t>
  </si>
  <si>
    <t>Office Desk</t>
  </si>
  <si>
    <t>Coffee</t>
  </si>
  <si>
    <t>Jeans</t>
  </si>
  <si>
    <t>Jacket</t>
  </si>
  <si>
    <t>Mouse</t>
  </si>
  <si>
    <t>UPI</t>
  </si>
  <si>
    <t>Credit Card</t>
  </si>
  <si>
    <t>Debit Card</t>
  </si>
  <si>
    <t>Cash</t>
  </si>
  <si>
    <t>Row Labels</t>
  </si>
  <si>
    <t>Grand Total</t>
  </si>
  <si>
    <t>Sum of Sales</t>
  </si>
  <si>
    <t>Total Sales</t>
  </si>
  <si>
    <t>Total porfit</t>
  </si>
  <si>
    <t>Count of Product</t>
  </si>
  <si>
    <t>Sold Qunatity</t>
  </si>
  <si>
    <t>Avg oder value</t>
  </si>
  <si>
    <t>2025</t>
  </si>
  <si>
    <t>2026</t>
  </si>
  <si>
    <t>Qtr1</t>
  </si>
  <si>
    <t>Jan</t>
  </si>
  <si>
    <t>Feb</t>
  </si>
  <si>
    <t>Mar</t>
  </si>
  <si>
    <t>Sum of Sales2</t>
  </si>
  <si>
    <t>Ecom[Order ID]</t>
  </si>
  <si>
    <t>Ecom[Order Date]</t>
  </si>
  <si>
    <t>Ecom[Customer]</t>
  </si>
  <si>
    <t>Ecom[City]</t>
  </si>
  <si>
    <t>Ecom[Category]</t>
  </si>
  <si>
    <t>Ecom[Product]</t>
  </si>
  <si>
    <t>Ecom[Quantity]</t>
  </si>
  <si>
    <t>Ecom[Unit Price]</t>
  </si>
  <si>
    <t>Ecom[Sales]</t>
  </si>
  <si>
    <t>Ecom[Profit]</t>
  </si>
  <si>
    <t>Ecom[Payment Mode]</t>
  </si>
  <si>
    <t>Ecom[Order Date (Year)]</t>
  </si>
  <si>
    <t>Ecom[Order Date (Quarter)]</t>
  </si>
  <si>
    <t>Ecom[Order Date (Month)]</t>
  </si>
  <si>
    <t>Ecom[Order Date (Month Index)]</t>
  </si>
  <si>
    <t>Data returned for Sum of Sales, 2026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</si>
</sst>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 #,##0.00;[Red]&quot;₹&quot;\ \-#,##0.00"/>
    <numFmt numFmtId="44" formatCode="_ &quot;₹&quot;\ * #,##0.00_ ;_ &quot;₹&quot;\ * \-#,##0.00_ ;_ &quot;₹&quot;\ * &quot;-&quot;??_ ;_ @_ "/>
    <numFmt numFmtId="164" formatCode="&quot;₹&quot;\ #,##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0"/>
        <bgColor indexed="64"/>
      </patternFill>
    </fill>
  </fills>
  <borders count="11">
    <border>
      <left/>
      <right/>
      <top/>
      <bottom/>
      <diagonal/>
    </border>
    <border>
      <left style="thin">
        <color auto="1"/>
      </left>
      <right style="thin">
        <color auto="1"/>
      </right>
      <top/>
      <bottom style="thin">
        <color auto="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2">
    <xf numFmtId="0" fontId="0" fillId="0" borderId="0" xfId="0"/>
    <xf numFmtId="14" fontId="0" fillId="0" borderId="0" xfId="0" applyNumberFormat="1"/>
    <xf numFmtId="0" fontId="1" fillId="0" borderId="1" xfId="0" applyFont="1" applyBorder="1" applyAlignment="1">
      <alignment horizontal="center" vertical="top"/>
    </xf>
    <xf numFmtId="44" fontId="0" fillId="0" borderId="0" xfId="0" applyNumberFormat="1"/>
    <xf numFmtId="4" fontId="0" fillId="0" borderId="0" xfId="0" applyNumberFormat="1"/>
    <xf numFmtId="164"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Alignment="1">
      <alignment horizontal="left"/>
    </xf>
    <xf numFmtId="8" fontId="0" fillId="0" borderId="0" xfId="0" applyNumberFormat="1"/>
    <xf numFmtId="0" fontId="0" fillId="2" borderId="0" xfId="0" applyFill="1"/>
    <xf numFmtId="0" fontId="0" fillId="3" borderId="0" xfId="0" applyFill="1"/>
    <xf numFmtId="0" fontId="1" fillId="0" borderId="0" xfId="0" applyFont="1"/>
    <xf numFmtId="0" fontId="0" fillId="0" borderId="0" xfId="0" applyNumberFormat="1"/>
  </cellXfs>
  <cellStyles count="1">
    <cellStyle name="Normal" xfId="0" builtinId="0"/>
  </cellStyles>
  <dxfs count="57">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64" formatCode="&quot;₹&quot;\ #,##0.00"/>
    </dxf>
    <dxf>
      <numFmt numFmtId="34" formatCode="_ &quot;₹&quot;\ * #,##0.00_ ;_ &quot;₹&quot;\ * \-#,##0.00_ ;_ &quot;₹&quot;\ * &quot;-&quot;??_ ;_ @_ "/>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2" formatCode="&quot;₹&quot;\ #,##0.00;[Red]&quot;₹&quot;\ \-#,##0.00"/>
    </dxf>
    <dxf>
      <numFmt numFmtId="4" formatCode="#,##0.00"/>
    </dxf>
    <dxf>
      <numFmt numFmtId="4" formatCode="#,##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[Excel_Project_2_Ecommerce_Sales (2).xlsx]pivots!PivotTable2</c:name>
    <c:fmtId val="7"/>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b="0" cap="none" spc="0">
                <a:ln w="0"/>
                <a:solidFill>
                  <a:schemeClr val="tx1"/>
                </a:solidFill>
                <a:effectLst>
                  <a:outerShdw blurRad="38100" dist="19050" dir="2700000" algn="tl" rotWithShape="0">
                    <a:schemeClr val="dk1">
                      <a:alpha val="40000"/>
                    </a:schemeClr>
                  </a:outerShdw>
                </a:effectLst>
              </a:rPr>
              <a:t>Monthly</a:t>
            </a:r>
            <a:r>
              <a:rPr lang="en-IN" b="0" cap="none" spc="0" baseline="0">
                <a:ln w="0"/>
                <a:solidFill>
                  <a:schemeClr val="tx1"/>
                </a:solidFill>
                <a:effectLst>
                  <a:outerShdw blurRad="38100" dist="19050" dir="2700000" algn="tl" rotWithShape="0">
                    <a:schemeClr val="dk1">
                      <a:alpha val="40000"/>
                    </a:schemeClr>
                  </a:outerShdw>
                </a:effectLst>
              </a:rPr>
              <a:t> sales</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40000"/>
                  <a:lumOff val="60000"/>
                </a:schemeClr>
              </a:gs>
              <a:gs pos="100000">
                <a:schemeClr val="accent1">
                  <a:lumMod val="5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lumMod val="75000"/>
              </a:schemeClr>
            </a:solidFill>
            <a:round/>
          </a:ln>
          <a:effectLst/>
        </c:spPr>
        <c:marker>
          <c:symbol val="circle"/>
          <c:size val="8"/>
          <c:spPr>
            <a:solidFill>
              <a:schemeClr val="bg1"/>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67825896762904"/>
          <c:y val="0.13071895424836602"/>
          <c:w val="0.78976618547681543"/>
          <c:h val="0.76097914231309327"/>
        </c:manualLayout>
      </c:layout>
      <c:areaChart>
        <c:grouping val="standard"/>
        <c:varyColors val="0"/>
        <c:ser>
          <c:idx val="1"/>
          <c:order val="1"/>
          <c:tx>
            <c:strRef>
              <c:f>pivots!$C$7</c:f>
              <c:strCache>
                <c:ptCount val="1"/>
                <c:pt idx="0">
                  <c:v>Sum of Sales2</c:v>
                </c:pt>
              </c:strCache>
            </c:strRef>
          </c:tx>
          <c:spPr>
            <a:gradFill>
              <a:gsLst>
                <a:gs pos="0">
                  <a:schemeClr val="accent1">
                    <a:lumMod val="40000"/>
                    <a:lumOff val="60000"/>
                  </a:schemeClr>
                </a:gs>
                <a:gs pos="100000">
                  <a:schemeClr val="accent1">
                    <a:lumMod val="50000"/>
                  </a:schemeClr>
                </a:gs>
              </a:gsLst>
              <a:lin ang="16200000" scaled="1"/>
            </a:gradFill>
            <a:ln>
              <a:noFill/>
            </a:ln>
            <a:effectLst/>
          </c:spPr>
          <c:cat>
            <c:strRef>
              <c:f>pivots!$A$8:$A$10</c:f>
              <c:strCache>
                <c:ptCount val="2"/>
                <c:pt idx="0">
                  <c:v>Jan</c:v>
                </c:pt>
                <c:pt idx="1">
                  <c:v>Feb</c:v>
                </c:pt>
              </c:strCache>
            </c:strRef>
          </c:cat>
          <c:val>
            <c:numRef>
              <c:f>pivots!$C$8:$C$10</c:f>
              <c:numCache>
                <c:formatCode>"₹"#,##0.00_);[Red]\("₹"#,##0.00\)</c:formatCode>
                <c:ptCount val="2"/>
                <c:pt idx="0">
                  <c:v>35000</c:v>
                </c:pt>
                <c:pt idx="1">
                  <c:v>11400</c:v>
                </c:pt>
              </c:numCache>
            </c:numRef>
          </c:val>
          <c:extLst>
            <c:ext xmlns:c16="http://schemas.microsoft.com/office/drawing/2014/chart" uri="{C3380CC4-5D6E-409C-BE32-E72D297353CC}">
              <c16:uniqueId val="{00000000-E6BA-498A-83EE-7053E9733A73}"/>
            </c:ext>
          </c:extLst>
        </c:ser>
        <c:dLbls>
          <c:showLegendKey val="0"/>
          <c:showVal val="0"/>
          <c:showCatName val="0"/>
          <c:showSerName val="0"/>
          <c:showPercent val="0"/>
          <c:showBubbleSize val="0"/>
        </c:dLbls>
        <c:axId val="392809984"/>
        <c:axId val="306683600"/>
      </c:areaChart>
      <c:lineChart>
        <c:grouping val="standard"/>
        <c:varyColors val="0"/>
        <c:ser>
          <c:idx val="0"/>
          <c:order val="0"/>
          <c:tx>
            <c:strRef>
              <c:f>pivots!$B$7</c:f>
              <c:strCache>
                <c:ptCount val="1"/>
                <c:pt idx="0">
                  <c:v>Sum of Sales</c:v>
                </c:pt>
              </c:strCache>
            </c:strRef>
          </c:tx>
          <c:spPr>
            <a:ln w="28575" cap="rnd">
              <a:solidFill>
                <a:schemeClr val="accent1">
                  <a:lumMod val="75000"/>
                </a:schemeClr>
              </a:solidFill>
              <a:round/>
            </a:ln>
            <a:effectLst/>
          </c:spPr>
          <c:marker>
            <c:symbol val="circle"/>
            <c:size val="8"/>
            <c:spPr>
              <a:solidFill>
                <a:schemeClr val="bg1"/>
              </a:solidFill>
              <a:ln w="25400">
                <a:solidFill>
                  <a:schemeClr val="tx1"/>
                </a:solidFill>
              </a:ln>
              <a:effectLst/>
            </c:spPr>
          </c:marker>
          <c:cat>
            <c:strRef>
              <c:f>pivots!$A$8:$A$10</c:f>
              <c:strCache>
                <c:ptCount val="2"/>
                <c:pt idx="0">
                  <c:v>Jan</c:v>
                </c:pt>
                <c:pt idx="1">
                  <c:v>Feb</c:v>
                </c:pt>
              </c:strCache>
            </c:strRef>
          </c:cat>
          <c:val>
            <c:numRef>
              <c:f>pivots!$B$8:$B$10</c:f>
              <c:numCache>
                <c:formatCode>"₹"#,##0.00_);[Red]\("₹"#,##0.00\)</c:formatCode>
                <c:ptCount val="2"/>
                <c:pt idx="0">
                  <c:v>35000</c:v>
                </c:pt>
                <c:pt idx="1">
                  <c:v>11400</c:v>
                </c:pt>
              </c:numCache>
            </c:numRef>
          </c:val>
          <c:smooth val="0"/>
          <c:extLst>
            <c:ext xmlns:c16="http://schemas.microsoft.com/office/drawing/2014/chart" uri="{C3380CC4-5D6E-409C-BE32-E72D297353CC}">
              <c16:uniqueId val="{00000001-E6BA-498A-83EE-7053E9733A73}"/>
            </c:ext>
          </c:extLst>
        </c:ser>
        <c:dLbls>
          <c:showLegendKey val="0"/>
          <c:showVal val="0"/>
          <c:showCatName val="0"/>
          <c:showSerName val="0"/>
          <c:showPercent val="0"/>
          <c:showBubbleSize val="0"/>
        </c:dLbls>
        <c:marker val="1"/>
        <c:smooth val="0"/>
        <c:axId val="392809984"/>
        <c:axId val="306683600"/>
      </c:lineChart>
      <c:catAx>
        <c:axId val="39280998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06683600"/>
        <c:crosses val="autoZero"/>
        <c:auto val="1"/>
        <c:lblAlgn val="ctr"/>
        <c:lblOffset val="100"/>
        <c:noMultiLvlLbl val="0"/>
      </c:catAx>
      <c:valAx>
        <c:axId val="306683600"/>
        <c:scaling>
          <c:orientation val="minMax"/>
          <c:min val="0"/>
        </c:scaling>
        <c:delete val="0"/>
        <c:axPos val="l"/>
        <c:majorGridlines>
          <c:spPr>
            <a:ln w="9525" cap="flat" cmpd="sng" algn="ctr">
              <a:noFill/>
              <a:prstDash val="solid"/>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280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[Excel_Project_2_Ecommerce_Sales (2).xlsx]pivots!PivotTable3</c:name>
    <c:fmtId val="3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Yearly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40000"/>
                  <a:lumOff val="60000"/>
                </a:schemeClr>
              </a:gs>
              <a:gs pos="100000">
                <a:schemeClr val="accent1">
                  <a:lumMod val="50000"/>
                </a:schemeClr>
              </a:gs>
            </a:gsLst>
            <a:lin ang="0" scaled="1"/>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98694533090056"/>
          <c:y val="0.30071681912512882"/>
          <c:w val="0.75181884370503516"/>
          <c:h val="0.46908400965533237"/>
        </c:manualLayout>
      </c:layout>
      <c:barChart>
        <c:barDir val="bar"/>
        <c:grouping val="clustered"/>
        <c:varyColors val="0"/>
        <c:ser>
          <c:idx val="0"/>
          <c:order val="0"/>
          <c:tx>
            <c:strRef>
              <c:f>pivots!$B$15</c:f>
              <c:strCache>
                <c:ptCount val="1"/>
                <c:pt idx="0">
                  <c:v>Total</c:v>
                </c:pt>
              </c:strCache>
            </c:strRef>
          </c:tx>
          <c:spPr>
            <a:gradFill rotWithShape="1">
              <a:gsLst>
                <a:gs pos="0">
                  <a:schemeClr val="accent1">
                    <a:lumMod val="40000"/>
                    <a:lumOff val="60000"/>
                  </a:schemeClr>
                </a:gs>
                <a:gs pos="100000">
                  <a:schemeClr val="accent1">
                    <a:lumMod val="50000"/>
                  </a:schemeClr>
                </a:gs>
              </a:gsLst>
              <a:lin ang="0" scaled="1"/>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pivots!$A$16:$A$17</c:f>
              <c:strCache>
                <c:ptCount val="1"/>
                <c:pt idx="0">
                  <c:v>2026</c:v>
                </c:pt>
              </c:strCache>
            </c:strRef>
          </c:cat>
          <c:val>
            <c:numRef>
              <c:f>pivots!$B$16:$B$17</c:f>
              <c:numCache>
                <c:formatCode>"₹"#,##0.00_);[Red]\("₹"#,##0.00\)</c:formatCode>
                <c:ptCount val="1"/>
                <c:pt idx="0">
                  <c:v>46400</c:v>
                </c:pt>
              </c:numCache>
            </c:numRef>
          </c:val>
          <c:extLst>
            <c:ext xmlns:c16="http://schemas.microsoft.com/office/drawing/2014/chart" uri="{C3380CC4-5D6E-409C-BE32-E72D297353CC}">
              <c16:uniqueId val="{00000000-B794-43C0-8E9F-B47374CB6BA5}"/>
            </c:ext>
          </c:extLst>
        </c:ser>
        <c:dLbls>
          <c:showLegendKey val="0"/>
          <c:showVal val="0"/>
          <c:showCatName val="0"/>
          <c:showSerName val="0"/>
          <c:showPercent val="0"/>
          <c:showBubbleSize val="0"/>
        </c:dLbls>
        <c:gapWidth val="100"/>
        <c:axId val="392937584"/>
        <c:axId val="306486320"/>
      </c:barChart>
      <c:catAx>
        <c:axId val="39293758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6486320"/>
        <c:crosses val="autoZero"/>
        <c:auto val="1"/>
        <c:lblAlgn val="ctr"/>
        <c:lblOffset val="100"/>
        <c:noMultiLvlLbl val="0"/>
      </c:catAx>
      <c:valAx>
        <c:axId val="306486320"/>
        <c:scaling>
          <c:orientation val="minMax"/>
        </c:scaling>
        <c:delete val="0"/>
        <c:axPos val="b"/>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293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[Excel_Project_2_Ecommerce_Sales (2).xlsx]pivots!PivotTable5</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Qtr</a:t>
            </a:r>
            <a:r>
              <a:rPr lang="en-US" baseline="0"/>
              <a:t> sales</a:t>
            </a:r>
          </a:p>
          <a:p>
            <a:pPr>
              <a:defRPr/>
            </a:pPr>
            <a:endParaRPr lang="en-US"/>
          </a:p>
        </c:rich>
      </c:tx>
      <c:layout>
        <c:manualLayout>
          <c:xMode val="edge"/>
          <c:yMode val="edge"/>
          <c:x val="0.70341619457828464"/>
          <c:y val="2.397571467766822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40000"/>
                  <a:lumOff val="60000"/>
                </a:schemeClr>
              </a:gs>
              <a:gs pos="100000">
                <a:schemeClr val="accent1">
                  <a:lumMod val="50000"/>
                </a:schemeClr>
              </a:gs>
            </a:gsLst>
            <a:lin ang="0" scaled="1"/>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spPr>
          <a:gradFill rotWithShape="1">
            <a:gsLst>
              <a:gs pos="0">
                <a:schemeClr val="accent1">
                  <a:lumMod val="40000"/>
                  <a:lumOff val="60000"/>
                </a:schemeClr>
              </a:gs>
              <a:gs pos="100000">
                <a:schemeClr val="accent1">
                  <a:lumMod val="50000"/>
                </a:schemeClr>
              </a:gs>
            </a:gsLst>
            <a:lin ang="0" scaled="1"/>
          </a:gradFill>
          <a:ln>
            <a:noFill/>
          </a:ln>
          <a:effectLst>
            <a:outerShdw blurRad="40000" dist="23000" dir="5400000" rotWithShape="0">
              <a:srgbClr val="000000">
                <a:alpha val="35000"/>
              </a:srgbClr>
            </a:outerShdw>
          </a:effectLst>
        </c:spPr>
      </c:pivotFmt>
    </c:pivotFmts>
    <c:plotArea>
      <c:layout>
        <c:manualLayout>
          <c:layoutTarget val="inner"/>
          <c:xMode val="edge"/>
          <c:yMode val="edge"/>
          <c:x val="9.5514466995969091E-2"/>
          <c:y val="6.747868180919879E-2"/>
          <c:w val="0.85666922521121447"/>
          <c:h val="0.649082216199802"/>
        </c:manualLayout>
      </c:layout>
      <c:barChart>
        <c:barDir val="bar"/>
        <c:grouping val="clustered"/>
        <c:varyColors val="0"/>
        <c:ser>
          <c:idx val="0"/>
          <c:order val="0"/>
          <c:tx>
            <c:strRef>
              <c:f>pivots!$B$25</c:f>
              <c:strCache>
                <c:ptCount val="1"/>
                <c:pt idx="0">
                  <c:v>Total</c:v>
                </c:pt>
              </c:strCache>
            </c:strRef>
          </c:tx>
          <c:spPr>
            <a:gradFill rotWithShape="1">
              <a:gsLst>
                <a:gs pos="0">
                  <a:schemeClr val="accent1">
                    <a:lumMod val="40000"/>
                    <a:lumOff val="60000"/>
                  </a:schemeClr>
                </a:gs>
                <a:gs pos="100000">
                  <a:schemeClr val="accent1">
                    <a:lumMod val="50000"/>
                  </a:schemeClr>
                </a:gs>
              </a:gsLst>
              <a:lin ang="0" scaled="1"/>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pivots!$A$26:$A$27</c:f>
              <c:strCache>
                <c:ptCount val="1"/>
                <c:pt idx="0">
                  <c:v>Qtr1</c:v>
                </c:pt>
              </c:strCache>
            </c:strRef>
          </c:cat>
          <c:val>
            <c:numRef>
              <c:f>pivots!$B$26:$B$27</c:f>
              <c:numCache>
                <c:formatCode>"₹"#,##0.00_);[Red]\("₹"#,##0.00\)</c:formatCode>
                <c:ptCount val="1"/>
                <c:pt idx="0">
                  <c:v>46400</c:v>
                </c:pt>
              </c:numCache>
            </c:numRef>
          </c:val>
          <c:extLst>
            <c:ext xmlns:c16="http://schemas.microsoft.com/office/drawing/2014/chart" uri="{C3380CC4-5D6E-409C-BE32-E72D297353CC}">
              <c16:uniqueId val="{00000000-7B36-4645-A7C4-017F4A0D6749}"/>
            </c:ext>
          </c:extLst>
        </c:ser>
        <c:dLbls>
          <c:showLegendKey val="0"/>
          <c:showVal val="0"/>
          <c:showCatName val="0"/>
          <c:showSerName val="0"/>
          <c:showPercent val="0"/>
          <c:showBubbleSize val="0"/>
        </c:dLbls>
        <c:gapWidth val="100"/>
        <c:axId val="392831328"/>
        <c:axId val="306469520"/>
      </c:barChart>
      <c:catAx>
        <c:axId val="39283132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6469520"/>
        <c:crosses val="autoZero"/>
        <c:auto val="1"/>
        <c:lblAlgn val="ctr"/>
        <c:lblOffset val="100"/>
        <c:noMultiLvlLbl val="0"/>
      </c:catAx>
      <c:valAx>
        <c:axId val="306469520"/>
        <c:scaling>
          <c:orientation val="minMax"/>
        </c:scaling>
        <c:delete val="0"/>
        <c:axPos val="b"/>
        <c:majorGridlines>
          <c:spPr>
            <a:ln w="9525" cap="flat" cmpd="sng" algn="ctr">
              <a:no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2831328"/>
        <c:crosses val="autoZero"/>
        <c:crossBetween val="between"/>
        <c:majorUnit val="1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[Excel_Project_2_Ecommerce_Sales (2).xlsx]pivots!PivotTable6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0" cap="none" spc="0">
                <a:ln w="0"/>
                <a:solidFill>
                  <a:schemeClr val="accent1"/>
                </a:solidFill>
                <a:effectLst>
                  <a:outerShdw blurRad="38100" dist="25400" dir="5400000" algn="ctr" rotWithShape="0">
                    <a:srgbClr val="6E747A">
                      <a:alpha val="43000"/>
                    </a:srgbClr>
                  </a:outerShdw>
                </a:effectLst>
              </a:rPr>
              <a:t>sales</a:t>
            </a:r>
            <a:r>
              <a:rPr lang="en-IN" sz="2400" b="0" cap="none" spc="0" baseline="0">
                <a:ln w="0"/>
                <a:solidFill>
                  <a:schemeClr val="accent1"/>
                </a:solidFill>
                <a:effectLst>
                  <a:outerShdw blurRad="38100" dist="25400" dir="5400000" algn="ctr" rotWithShape="0">
                    <a:srgbClr val="6E747A">
                      <a:alpha val="43000"/>
                    </a:srgbClr>
                  </a:outerShdw>
                </a:effectLst>
              </a:rPr>
              <a:t> by cities</a:t>
            </a:r>
            <a:endParaRPr lang="en-IN" sz="2400" b="0" cap="none" spc="0">
              <a:ln w="0"/>
              <a:solidFill>
                <a:schemeClr val="accent1"/>
              </a:solidFill>
              <a:effectLst>
                <a:outerShdw blurRad="38100" dist="25400" dir="5400000" algn="ctr" rotWithShape="0">
                  <a:srgbClr val="6E747A">
                    <a:alpha val="43000"/>
                  </a:srgb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gradFill>
            <a:gsLst>
              <a:gs pos="0">
                <a:schemeClr val="accent1">
                  <a:lumMod val="40000"/>
                  <a:lumOff val="60000"/>
                </a:schemeClr>
              </a:gs>
              <a:gs pos="100000">
                <a:schemeClr val="accent1">
                  <a:lumMod val="50000"/>
                </a:schemeClr>
              </a:gs>
            </a:gsLst>
            <a:lin ang="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chemeClr val="accent1">
                  <a:lumMod val="40000"/>
                  <a:lumOff val="60000"/>
                </a:schemeClr>
              </a:gs>
              <a:gs pos="100000">
                <a:schemeClr val="accent1">
                  <a:lumMod val="50000"/>
                </a:schemeClr>
              </a:gs>
            </a:gsLst>
            <a:lin ang="0" scaled="1"/>
          </a:gradFill>
          <a:ln w="19050">
            <a:solidFill>
              <a:schemeClr val="lt1"/>
            </a:solidFill>
          </a:ln>
          <a:effectLst/>
        </c:spPr>
      </c:pivotFmt>
      <c:pivotFmt>
        <c:idx val="12"/>
        <c:spPr>
          <a:gradFill>
            <a:gsLst>
              <a:gs pos="0">
                <a:schemeClr val="accent1">
                  <a:lumMod val="40000"/>
                  <a:lumOff val="60000"/>
                </a:schemeClr>
              </a:gs>
              <a:gs pos="100000">
                <a:schemeClr val="accent1">
                  <a:lumMod val="50000"/>
                </a:schemeClr>
              </a:gs>
            </a:gsLst>
            <a:lin ang="0" scaled="1"/>
          </a:gradFill>
          <a:ln w="19050">
            <a:solidFill>
              <a:schemeClr val="lt1"/>
            </a:solidFill>
          </a:ln>
          <a:effectLst/>
        </c:spPr>
      </c:pivotFmt>
      <c:pivotFmt>
        <c:idx val="13"/>
        <c:spPr>
          <a:gradFill>
            <a:gsLst>
              <a:gs pos="0">
                <a:schemeClr val="accent1">
                  <a:lumMod val="40000"/>
                  <a:lumOff val="60000"/>
                </a:schemeClr>
              </a:gs>
              <a:gs pos="100000">
                <a:schemeClr val="accent1">
                  <a:lumMod val="50000"/>
                </a:schemeClr>
              </a:gs>
            </a:gsLst>
            <a:lin ang="0" scaled="1"/>
          </a:gradFill>
          <a:ln w="19050">
            <a:solidFill>
              <a:schemeClr val="lt1"/>
            </a:solidFill>
          </a:ln>
          <a:effectLst/>
        </c:spPr>
      </c:pivotFmt>
      <c:pivotFmt>
        <c:idx val="14"/>
        <c:spPr>
          <a:gradFill>
            <a:gsLst>
              <a:gs pos="0">
                <a:schemeClr val="accent1">
                  <a:lumMod val="40000"/>
                  <a:lumOff val="60000"/>
                </a:schemeClr>
              </a:gs>
              <a:gs pos="100000">
                <a:schemeClr val="accent1">
                  <a:lumMod val="50000"/>
                </a:schemeClr>
              </a:gs>
            </a:gsLst>
            <a:lin ang="0" scaled="1"/>
          </a:gradFill>
          <a:ln w="19050">
            <a:solidFill>
              <a:schemeClr val="lt1"/>
            </a:solidFill>
          </a:ln>
          <a:effectLst/>
        </c:spPr>
      </c:pivotFmt>
      <c:pivotFmt>
        <c:idx val="15"/>
        <c:spPr>
          <a:gradFill>
            <a:gsLst>
              <a:gs pos="0">
                <a:schemeClr val="accent1">
                  <a:lumMod val="40000"/>
                  <a:lumOff val="60000"/>
                </a:schemeClr>
              </a:gs>
              <a:gs pos="100000">
                <a:schemeClr val="accent1">
                  <a:lumMod val="50000"/>
                </a:schemeClr>
              </a:gs>
            </a:gsLst>
            <a:lin ang="0" scaled="1"/>
          </a:gradFill>
          <a:ln w="19050">
            <a:solidFill>
              <a:schemeClr val="lt1"/>
            </a:solidFill>
          </a:ln>
          <a:effectLst/>
        </c:spPr>
      </c:pivotFmt>
      <c:pivotFmt>
        <c:idx val="16"/>
        <c:spPr>
          <a:gradFill>
            <a:gsLst>
              <a:gs pos="0">
                <a:schemeClr val="accent1">
                  <a:lumMod val="40000"/>
                  <a:lumOff val="60000"/>
                </a:schemeClr>
              </a:gs>
              <a:gs pos="100000">
                <a:schemeClr val="accent1">
                  <a:lumMod val="50000"/>
                </a:schemeClr>
              </a:gs>
            </a:gsLst>
            <a:lin ang="0" scaled="1"/>
          </a:gradFill>
          <a:ln w="19050">
            <a:solidFill>
              <a:schemeClr val="lt1"/>
            </a:solidFill>
          </a:ln>
          <a:effectLst/>
        </c:spPr>
      </c:pivotFmt>
      <c:pivotFmt>
        <c:idx val="17"/>
        <c:spPr>
          <a:gradFill>
            <a:gsLst>
              <a:gs pos="0">
                <a:schemeClr val="accent1">
                  <a:lumMod val="40000"/>
                  <a:lumOff val="60000"/>
                </a:schemeClr>
              </a:gs>
              <a:gs pos="100000">
                <a:schemeClr val="accent1">
                  <a:lumMod val="50000"/>
                </a:schemeClr>
              </a:gs>
            </a:gsLst>
            <a:lin ang="0" scaled="1"/>
          </a:gradFill>
          <a:ln w="19050">
            <a:solidFill>
              <a:schemeClr val="lt1"/>
            </a:solidFill>
          </a:ln>
          <a:effectLst/>
        </c:spPr>
      </c:pivotFmt>
      <c:pivotFmt>
        <c:idx val="18"/>
        <c:spPr>
          <a:gradFill>
            <a:gsLst>
              <a:gs pos="0">
                <a:schemeClr val="accent1">
                  <a:lumMod val="40000"/>
                  <a:lumOff val="60000"/>
                </a:schemeClr>
              </a:gs>
              <a:gs pos="100000">
                <a:schemeClr val="accent1">
                  <a:lumMod val="50000"/>
                </a:schemeClr>
              </a:gs>
            </a:gsLst>
            <a:lin ang="0" scaled="1"/>
          </a:gradFill>
          <a:ln w="19050">
            <a:solidFill>
              <a:schemeClr val="lt1"/>
            </a:solidFill>
          </a:ln>
          <a:effectLst/>
        </c:spPr>
      </c:pivotFmt>
    </c:pivotFmts>
    <c:plotArea>
      <c:layout/>
      <c:barChart>
        <c:barDir val="bar"/>
        <c:grouping val="clustered"/>
        <c:varyColors val="0"/>
        <c:ser>
          <c:idx val="0"/>
          <c:order val="0"/>
          <c:tx>
            <c:strRef>
              <c:f>pivots!$B$30</c:f>
              <c:strCache>
                <c:ptCount val="1"/>
                <c:pt idx="0">
                  <c:v>Total</c:v>
                </c:pt>
              </c:strCache>
            </c:strRef>
          </c:tx>
          <c:spPr>
            <a:gradFill>
              <a:gsLst>
                <a:gs pos="0">
                  <a:schemeClr val="accent1">
                    <a:lumMod val="40000"/>
                    <a:lumOff val="60000"/>
                  </a:schemeClr>
                </a:gs>
                <a:gs pos="100000">
                  <a:schemeClr val="accent1">
                    <a:lumMod val="50000"/>
                  </a:schemeClr>
                </a:gs>
              </a:gsLst>
              <a:lin ang="0" scaled="1"/>
            </a:gradFill>
            <a:ln w="19050">
              <a:solidFill>
                <a:schemeClr val="lt1"/>
              </a:solidFill>
            </a:ln>
            <a:effectLst/>
          </c:spPr>
          <c:invertIfNegative val="0"/>
          <c:dPt>
            <c:idx val="0"/>
            <c:invertIfNegative val="0"/>
            <c:bubble3D val="0"/>
            <c:extLst>
              <c:ext xmlns:c16="http://schemas.microsoft.com/office/drawing/2014/chart" uri="{C3380CC4-5D6E-409C-BE32-E72D297353CC}">
                <c16:uniqueId val="{00000001-0F44-4310-835F-11A0F2223E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pivots!$A$31:$A$32</c:f>
              <c:strCache>
                <c:ptCount val="1"/>
                <c:pt idx="0">
                  <c:v>Chennai</c:v>
                </c:pt>
              </c:strCache>
            </c:strRef>
          </c:cat>
          <c:val>
            <c:numRef>
              <c:f>pivots!$B$31:$B$32</c:f>
              <c:numCache>
                <c:formatCode>"₹"#,##0.00_);[Red]\("₹"#,##0.00\)</c:formatCode>
                <c:ptCount val="1"/>
                <c:pt idx="0">
                  <c:v>46400</c:v>
                </c:pt>
              </c:numCache>
            </c:numRef>
          </c:val>
          <c:extLst>
            <c:ext xmlns:c16="http://schemas.microsoft.com/office/drawing/2014/chart" uri="{C3380CC4-5D6E-409C-BE32-E72D297353CC}">
              <c16:uniqueId val="{00000010-0F44-4310-835F-11A0F2223E58}"/>
            </c:ext>
          </c:extLst>
        </c:ser>
        <c:dLbls>
          <c:showLegendKey val="0"/>
          <c:showVal val="0"/>
          <c:showCatName val="0"/>
          <c:showSerName val="0"/>
          <c:showPercent val="0"/>
          <c:showBubbleSize val="0"/>
        </c:dLbls>
        <c:gapWidth val="100"/>
        <c:axId val="392915312"/>
        <c:axId val="306461360"/>
      </c:barChart>
      <c:valAx>
        <c:axId val="306461360"/>
        <c:scaling>
          <c:orientation val="minMax"/>
        </c:scaling>
        <c:delete val="0"/>
        <c:axPos val="b"/>
        <c:numFmt formatCode="&quot;₹&quot;#,##0.00_);[Red]\(&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915312"/>
        <c:crosses val="autoZero"/>
        <c:crossBetween val="between"/>
        <c:majorUnit val="30000"/>
      </c:valAx>
      <c:catAx>
        <c:axId val="3929153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46136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[Excel_Project_2_Ecommerce_Sales (2).xlsx]pivots!PivotTable7</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0" cap="none" spc="0">
                <a:ln w="0"/>
                <a:solidFill>
                  <a:schemeClr val="accent1"/>
                </a:solidFill>
                <a:effectLst>
                  <a:outerShdw blurRad="38100" dist="25400" dir="5400000" algn="ctr" rotWithShape="0">
                    <a:srgbClr val="6E747A">
                      <a:alpha val="43000"/>
                    </a:srgbClr>
                  </a:outerShdw>
                </a:effectLst>
              </a:rPr>
              <a:t>sales</a:t>
            </a:r>
            <a:r>
              <a:rPr lang="en-US" sz="2000" b="0" cap="none" spc="0" baseline="0">
                <a:ln w="0"/>
                <a:solidFill>
                  <a:schemeClr val="accent1"/>
                </a:solidFill>
                <a:effectLst>
                  <a:outerShdw blurRad="38100" dist="25400" dir="5400000" algn="ctr" rotWithShape="0">
                    <a:srgbClr val="6E747A">
                      <a:alpha val="43000"/>
                    </a:srgbClr>
                  </a:outerShdw>
                </a:effectLst>
              </a:rPr>
              <a:t> by catageory</a:t>
            </a:r>
            <a:endParaRPr lang="en-US" sz="2000" b="0" cap="none" spc="0">
              <a:ln w="0"/>
              <a:solidFill>
                <a:schemeClr val="accent1"/>
              </a:solidFill>
              <a:effectLst>
                <a:outerShdw blurRad="38100" dist="25400" dir="5400000" algn="ctr" rotWithShape="0">
                  <a:srgbClr val="6E747A">
                    <a:alpha val="43000"/>
                  </a:srgb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40000"/>
                  <a:lumOff val="60000"/>
                </a:schemeClr>
              </a:gs>
              <a:gs pos="100000">
                <a:schemeClr val="accent1">
                  <a:lumMod val="50000"/>
                </a:scheme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40000"/>
                  <a:lumOff val="60000"/>
                </a:schemeClr>
              </a:gs>
              <a:gs pos="100000">
                <a:schemeClr val="accent1">
                  <a:lumMod val="50000"/>
                </a:scheme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40000"/>
                  <a:lumOff val="60000"/>
                </a:schemeClr>
              </a:gs>
              <a:gs pos="100000">
                <a:schemeClr val="accent1">
                  <a:lumMod val="50000"/>
                </a:scheme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pivots!$B$41</c:f>
              <c:strCache>
                <c:ptCount val="1"/>
                <c:pt idx="0">
                  <c:v>Total</c:v>
                </c:pt>
              </c:strCache>
            </c:strRef>
          </c:tx>
          <c:spPr>
            <a:gradFill flip="none" rotWithShape="1">
              <a:gsLst>
                <a:gs pos="0">
                  <a:schemeClr val="accent1">
                    <a:lumMod val="40000"/>
                    <a:lumOff val="60000"/>
                  </a:schemeClr>
                </a:gs>
                <a:gs pos="100000">
                  <a:schemeClr val="accent1">
                    <a:lumMod val="50000"/>
                  </a:scheme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pivots!$A$42:$A$43</c:f>
              <c:strCache>
                <c:ptCount val="1"/>
                <c:pt idx="0">
                  <c:v>Furniture</c:v>
                </c:pt>
              </c:strCache>
            </c:strRef>
          </c:cat>
          <c:val>
            <c:numRef>
              <c:f>pivots!$B$42:$B$43</c:f>
              <c:numCache>
                <c:formatCode>"₹"#,##0.00_);[Red]\("₹"#,##0.00\)</c:formatCode>
                <c:ptCount val="1"/>
                <c:pt idx="0">
                  <c:v>46400</c:v>
                </c:pt>
              </c:numCache>
            </c:numRef>
          </c:val>
          <c:extLst>
            <c:ext xmlns:c16="http://schemas.microsoft.com/office/drawing/2014/chart" uri="{C3380CC4-5D6E-409C-BE32-E72D297353CC}">
              <c16:uniqueId val="{00000000-1724-4A88-9E89-2FF00FA07915}"/>
            </c:ext>
          </c:extLst>
        </c:ser>
        <c:dLbls>
          <c:dLblPos val="outEnd"/>
          <c:showLegendKey val="0"/>
          <c:showVal val="1"/>
          <c:showCatName val="0"/>
          <c:showSerName val="0"/>
          <c:showPercent val="0"/>
          <c:showBubbleSize val="0"/>
        </c:dLbls>
        <c:gapWidth val="182"/>
        <c:axId val="392988160"/>
        <c:axId val="306657680"/>
      </c:barChart>
      <c:catAx>
        <c:axId val="392988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657680"/>
        <c:crosses val="autoZero"/>
        <c:auto val="1"/>
        <c:lblAlgn val="ctr"/>
        <c:lblOffset val="100"/>
        <c:noMultiLvlLbl val="0"/>
      </c:catAx>
      <c:valAx>
        <c:axId val="306657680"/>
        <c:scaling>
          <c:orientation val="minMax"/>
        </c:scaling>
        <c:delete val="0"/>
        <c:axPos val="b"/>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92988160"/>
        <c:crosses val="autoZero"/>
        <c:crossBetween val="between"/>
        <c:majorUnit val="1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[Excel_Project_2_Ecommerce_Sales (2).xlsx]pivots!PivotTable8</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0" cap="none" spc="0">
                <a:ln w="0"/>
                <a:solidFill>
                  <a:schemeClr val="accent1"/>
                </a:solidFill>
                <a:effectLst>
                  <a:outerShdw blurRad="38100" dist="25400" dir="5400000" algn="ctr" rotWithShape="0">
                    <a:srgbClr val="6E747A">
                      <a:alpha val="43000"/>
                    </a:srgbClr>
                  </a:outerShdw>
                </a:effectLst>
              </a:rPr>
              <a:t>Payment</a:t>
            </a:r>
            <a:r>
              <a:rPr lang="en-US" sz="2000" b="0" cap="none" spc="0" baseline="0">
                <a:ln w="0"/>
                <a:solidFill>
                  <a:schemeClr val="accent1"/>
                </a:solidFill>
                <a:effectLst>
                  <a:outerShdw blurRad="38100" dist="25400" dir="5400000" algn="ctr" rotWithShape="0">
                    <a:srgbClr val="6E747A">
                      <a:alpha val="43000"/>
                    </a:srgbClr>
                  </a:outerShdw>
                </a:effectLst>
              </a:rPr>
              <a:t> Mode</a:t>
            </a:r>
            <a:endParaRPr lang="en-US" sz="2000" b="0" cap="none" spc="0">
              <a:ln w="0"/>
              <a:solidFill>
                <a:schemeClr val="accent1"/>
              </a:solidFill>
              <a:effectLst>
                <a:outerShdw blurRad="38100" dist="25400" dir="5400000" algn="ctr" rotWithShape="0">
                  <a:srgbClr val="6E747A">
                    <a:alpha val="43000"/>
                  </a:srgb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pivots!$B$48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4B-41CD-94C8-A12FAAB880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D4B-41CD-94C8-A12FAAB880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D4B-41CD-94C8-A12FAAB880E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pivots!$A$49:$A$51</c:f>
              <c:strCache>
                <c:ptCount val="2"/>
                <c:pt idx="0">
                  <c:v>Cash</c:v>
                </c:pt>
                <c:pt idx="1">
                  <c:v>Debit Card</c:v>
                </c:pt>
              </c:strCache>
            </c:strRef>
          </c:cat>
          <c:val>
            <c:numRef>
              <c:f>pivots!$B$49:$B$51</c:f>
              <c:numCache>
                <c:formatCode>"₹"#,##0.00_);[Red]\("₹"#,##0.00\)</c:formatCode>
                <c:ptCount val="2"/>
                <c:pt idx="0">
                  <c:v>35000</c:v>
                </c:pt>
                <c:pt idx="1">
                  <c:v>11400</c:v>
                </c:pt>
              </c:numCache>
            </c:numRef>
          </c:val>
          <c:extLst>
            <c:ext xmlns:c16="http://schemas.microsoft.com/office/drawing/2014/chart" uri="{C3380CC4-5D6E-409C-BE32-E72D297353CC}">
              <c16:uniqueId val="{00000009-B40C-44FC-9DC9-72FE3528761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[Excel_Project_2_Ecommerce_Sales (2).xlsx]pivots!PivotTable9</c:name>
    <c:fmtId val="5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0" cap="none" spc="0">
                <a:ln w="0"/>
                <a:solidFill>
                  <a:schemeClr val="accent1"/>
                </a:solidFill>
                <a:effectLst>
                  <a:outerShdw blurRad="38100" dist="25400" dir="5400000" algn="ctr" rotWithShape="0">
                    <a:srgbClr val="6E747A">
                      <a:alpha val="43000"/>
                    </a:srgbClr>
                  </a:outerShdw>
                </a:effectLst>
              </a:rPr>
              <a:t> Top</a:t>
            </a:r>
            <a:r>
              <a:rPr lang="en-US" sz="2400" b="0" cap="none" spc="0" baseline="0">
                <a:ln w="0"/>
                <a:solidFill>
                  <a:schemeClr val="accent1"/>
                </a:solidFill>
                <a:effectLst>
                  <a:outerShdw blurRad="38100" dist="25400" dir="5400000" algn="ctr" rotWithShape="0">
                    <a:srgbClr val="6E747A">
                      <a:alpha val="43000"/>
                    </a:srgbClr>
                  </a:outerShdw>
                </a:effectLst>
              </a:rPr>
              <a:t> 10 </a:t>
            </a:r>
            <a:r>
              <a:rPr lang="en-US" sz="2400" b="0" cap="none" spc="0">
                <a:ln w="0"/>
                <a:solidFill>
                  <a:schemeClr val="accent1"/>
                </a:solidFill>
                <a:effectLst>
                  <a:outerShdw blurRad="38100" dist="25400" dir="5400000" algn="ctr" rotWithShape="0">
                    <a:srgbClr val="6E747A">
                      <a:alpha val="43000"/>
                    </a:srgbClr>
                  </a:outerShdw>
                </a:effectLst>
              </a:rPr>
              <a:t>Catagories</a:t>
            </a:r>
            <a:endParaRPr lang="en-US" sz="2400"/>
          </a:p>
        </c:rich>
      </c:tx>
      <c:layout>
        <c:manualLayout>
          <c:xMode val="edge"/>
          <c:yMode val="edge"/>
          <c:x val="0.36159594918294274"/>
          <c:y val="3.887773307373644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40000"/>
                  <a:lumOff val="60000"/>
                </a:schemeClr>
              </a:gs>
              <a:gs pos="100000">
                <a:schemeClr val="accent1">
                  <a:lumMod val="5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40000"/>
                  <a:lumOff val="60000"/>
                </a:schemeClr>
              </a:gs>
              <a:gs pos="100000">
                <a:schemeClr val="accent1">
                  <a:lumMod val="5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40000"/>
                  <a:lumOff val="60000"/>
                </a:schemeClr>
              </a:gs>
              <a:gs pos="100000">
                <a:schemeClr val="accent1">
                  <a:lumMod val="5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87442931958344"/>
          <c:y val="0.19388990260193817"/>
          <c:w val="0.78976618547681543"/>
          <c:h val="0.58213473315835518"/>
        </c:manualLayout>
      </c:layout>
      <c:barChart>
        <c:barDir val="col"/>
        <c:grouping val="clustered"/>
        <c:varyColors val="0"/>
        <c:ser>
          <c:idx val="0"/>
          <c:order val="0"/>
          <c:tx>
            <c:strRef>
              <c:f>pivots!$B$56</c:f>
              <c:strCache>
                <c:ptCount val="1"/>
                <c:pt idx="0">
                  <c:v>Total</c:v>
                </c:pt>
              </c:strCache>
            </c:strRef>
          </c:tx>
          <c:spPr>
            <a:gradFill flip="none" rotWithShape="1">
              <a:gsLst>
                <a:gs pos="0">
                  <a:schemeClr val="accent1">
                    <a:lumMod val="40000"/>
                    <a:lumOff val="60000"/>
                  </a:schemeClr>
                </a:gs>
                <a:gs pos="100000">
                  <a:schemeClr val="accent1">
                    <a:lumMod val="50000"/>
                  </a:schemeClr>
                </a:gs>
              </a:gsLst>
              <a:lin ang="16200000" scaled="1"/>
              <a:tileRect/>
            </a:gradFill>
            <a:ln>
              <a:noFill/>
            </a:ln>
            <a:effectLst/>
          </c:spPr>
          <c:invertIfNegative val="0"/>
          <c:cat>
            <c:strRef>
              <c:f>pivots!$A$57:$A$59</c:f>
              <c:strCache>
                <c:ptCount val="2"/>
                <c:pt idx="0">
                  <c:v>Office Desk</c:v>
                </c:pt>
                <c:pt idx="1">
                  <c:v>Chair</c:v>
                </c:pt>
              </c:strCache>
            </c:strRef>
          </c:cat>
          <c:val>
            <c:numRef>
              <c:f>pivots!$B$57:$B$59</c:f>
              <c:numCache>
                <c:formatCode>"₹"#,##0.00_);[Red]\("₹"#,##0.00\)</c:formatCode>
                <c:ptCount val="2"/>
                <c:pt idx="0">
                  <c:v>42000</c:v>
                </c:pt>
                <c:pt idx="1">
                  <c:v>4400</c:v>
                </c:pt>
              </c:numCache>
            </c:numRef>
          </c:val>
          <c:extLst>
            <c:ext xmlns:c16="http://schemas.microsoft.com/office/drawing/2014/chart" uri="{C3380CC4-5D6E-409C-BE32-E72D297353CC}">
              <c16:uniqueId val="{00000000-9497-4DAF-824E-E5822D227DFB}"/>
            </c:ext>
          </c:extLst>
        </c:ser>
        <c:dLbls>
          <c:showLegendKey val="0"/>
          <c:showVal val="0"/>
          <c:showCatName val="0"/>
          <c:showSerName val="0"/>
          <c:showPercent val="0"/>
          <c:showBubbleSize val="0"/>
        </c:dLbls>
        <c:gapWidth val="25"/>
        <c:overlap val="-27"/>
        <c:axId val="393060544"/>
        <c:axId val="306673520"/>
      </c:barChart>
      <c:catAx>
        <c:axId val="39306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6673520"/>
        <c:crosses val="autoZero"/>
        <c:auto val="1"/>
        <c:lblAlgn val="ctr"/>
        <c:lblOffset val="100"/>
        <c:noMultiLvlLbl val="0"/>
      </c:catAx>
      <c:valAx>
        <c:axId val="306673520"/>
        <c:scaling>
          <c:orientation val="minMax"/>
        </c:scaling>
        <c:delete val="0"/>
        <c:axPos val="l"/>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06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281940</xdr:colOff>
      <xdr:row>41</xdr:row>
      <xdr:rowOff>0</xdr:rowOff>
    </xdr:from>
    <xdr:to>
      <xdr:col>7</xdr:col>
      <xdr:colOff>106679</xdr:colOff>
      <xdr:row>54</xdr:row>
      <xdr:rowOff>89535</xdr:rowOff>
    </xdr:to>
    <mc:AlternateContent xmlns:mc="http://schemas.openxmlformats.org/markup-compatibility/2006" xmlns:a14="http://schemas.microsoft.com/office/drawing/2010/main">
      <mc:Choice Requires="a14">
        <xdr:graphicFrame macro="">
          <xdr:nvGraphicFramePr>
            <xdr:cNvPr id="12" name="City 1">
              <a:extLst>
                <a:ext uri="{FF2B5EF4-FFF2-40B4-BE49-F238E27FC236}">
                  <a16:creationId xmlns:a16="http://schemas.microsoft.com/office/drawing/2014/main" id="{BAEF003F-228F-9BB2-6849-286DF713A3A6}"/>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4734197" y="7587343"/>
              <a:ext cx="1827711" cy="2495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12290</xdr:colOff>
      <xdr:row>0</xdr:row>
      <xdr:rowOff>73742</xdr:rowOff>
    </xdr:from>
    <xdr:to>
      <xdr:col>38</xdr:col>
      <xdr:colOff>479323</xdr:colOff>
      <xdr:row>45</xdr:row>
      <xdr:rowOff>159774</xdr:rowOff>
    </xdr:to>
    <xdr:sp macro="" textlink="">
      <xdr:nvSpPr>
        <xdr:cNvPr id="26" name="Rectangle 25">
          <a:extLst>
            <a:ext uri="{FF2B5EF4-FFF2-40B4-BE49-F238E27FC236}">
              <a16:creationId xmlns:a16="http://schemas.microsoft.com/office/drawing/2014/main" id="{77C3C480-65BF-ED30-A7C2-4B68DE9BB01F}"/>
            </a:ext>
          </a:extLst>
        </xdr:cNvPr>
        <xdr:cNvSpPr/>
      </xdr:nvSpPr>
      <xdr:spPr>
        <a:xfrm>
          <a:off x="12290" y="73742"/>
          <a:ext cx="23179549" cy="8382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0</xdr:colOff>
      <xdr:row>0</xdr:row>
      <xdr:rowOff>30480</xdr:rowOff>
    </xdr:from>
    <xdr:to>
      <xdr:col>13</xdr:col>
      <xdr:colOff>121920</xdr:colOff>
      <xdr:row>2</xdr:row>
      <xdr:rowOff>121920</xdr:rowOff>
    </xdr:to>
    <xdr:sp macro="" textlink="">
      <xdr:nvSpPr>
        <xdr:cNvPr id="3" name="TextBox 2">
          <a:extLst>
            <a:ext uri="{FF2B5EF4-FFF2-40B4-BE49-F238E27FC236}">
              <a16:creationId xmlns:a16="http://schemas.microsoft.com/office/drawing/2014/main" id="{BB54ABBD-DDD9-3979-7954-296EBB8B52D5}"/>
            </a:ext>
          </a:extLst>
        </xdr:cNvPr>
        <xdr:cNvSpPr txBox="1"/>
      </xdr:nvSpPr>
      <xdr:spPr>
        <a:xfrm>
          <a:off x="4251960" y="30480"/>
          <a:ext cx="3169920" cy="4572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0" cap="none" spc="0">
              <a:ln w="0"/>
              <a:solidFill>
                <a:schemeClr val="accent1"/>
              </a:solidFill>
              <a:effectLst>
                <a:outerShdw blurRad="38100" dist="25400" dir="5400000" algn="ctr" rotWithShape="0">
                  <a:srgbClr val="6E747A">
                    <a:alpha val="43000"/>
                  </a:srgbClr>
                </a:outerShdw>
              </a:effectLst>
            </a:rPr>
            <a:t>Ecomerce sales</a:t>
          </a:r>
          <a:r>
            <a:rPr lang="en-IN" sz="2000" b="0" cap="none" spc="0" baseline="0">
              <a:ln w="0"/>
              <a:solidFill>
                <a:schemeClr val="accent1"/>
              </a:solidFill>
              <a:effectLst>
                <a:outerShdw blurRad="38100" dist="25400" dir="5400000" algn="ctr" rotWithShape="0">
                  <a:srgbClr val="6E747A">
                    <a:alpha val="43000"/>
                  </a:srgbClr>
                </a:outerShdw>
              </a:effectLst>
            </a:rPr>
            <a:t> analysis</a:t>
          </a:r>
          <a:endParaRPr lang="en-IN" sz="20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1</xdr:col>
      <xdr:colOff>0</xdr:colOff>
      <xdr:row>3</xdr:row>
      <xdr:rowOff>7620</xdr:rowOff>
    </xdr:from>
    <xdr:to>
      <xdr:col>3</xdr:col>
      <xdr:colOff>362467</xdr:colOff>
      <xdr:row>9</xdr:row>
      <xdr:rowOff>0</xdr:rowOff>
    </xdr:to>
    <xdr:sp macro="" textlink="pivots!A4">
      <xdr:nvSpPr>
        <xdr:cNvPr id="4" name="Rectangle 3">
          <a:extLst>
            <a:ext uri="{FF2B5EF4-FFF2-40B4-BE49-F238E27FC236}">
              <a16:creationId xmlns:a16="http://schemas.microsoft.com/office/drawing/2014/main" id="{2DEB715E-C460-FE58-B88F-8EB1F95AAD6B}"/>
            </a:ext>
          </a:extLst>
        </xdr:cNvPr>
        <xdr:cNvSpPr/>
      </xdr:nvSpPr>
      <xdr:spPr>
        <a:xfrm>
          <a:off x="263407" y="543842"/>
          <a:ext cx="1312616" cy="1064825"/>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981234E-9DE6-4573-9F61-5B25398C6C36}" type="TxLink">
            <a:rPr lang="en-US" sz="1400" b="0" i="0" u="none" strike="noStrike">
              <a:solidFill>
                <a:schemeClr val="bg1"/>
              </a:solidFill>
              <a:latin typeface="Calibri"/>
              <a:ea typeface="Calibri"/>
              <a:cs typeface="Calibri"/>
            </a:rPr>
            <a:pPr algn="ctr"/>
            <a:t>₹ 5,48,560.00</a:t>
          </a:fld>
          <a:endParaRPr lang="en-IN" sz="1400">
            <a:solidFill>
              <a:schemeClr val="bg1"/>
            </a:solidFill>
          </a:endParaRPr>
        </a:p>
      </xdr:txBody>
    </xdr:sp>
    <xdr:clientData/>
  </xdr:twoCellAnchor>
  <xdr:twoCellAnchor>
    <xdr:from>
      <xdr:col>1</xdr:col>
      <xdr:colOff>91440</xdr:colOff>
      <xdr:row>3</xdr:row>
      <xdr:rowOff>30480</xdr:rowOff>
    </xdr:from>
    <xdr:to>
      <xdr:col>3</xdr:col>
      <xdr:colOff>229644</xdr:colOff>
      <xdr:row>5</xdr:row>
      <xdr:rowOff>0</xdr:rowOff>
    </xdr:to>
    <xdr:sp macro="" textlink="">
      <xdr:nvSpPr>
        <xdr:cNvPr id="6" name="TextBox 5">
          <a:extLst>
            <a:ext uri="{FF2B5EF4-FFF2-40B4-BE49-F238E27FC236}">
              <a16:creationId xmlns:a16="http://schemas.microsoft.com/office/drawing/2014/main" id="{192C2A90-8211-DB38-0487-4B0CB014FE5B}"/>
            </a:ext>
          </a:extLst>
        </xdr:cNvPr>
        <xdr:cNvSpPr txBox="1"/>
      </xdr:nvSpPr>
      <xdr:spPr>
        <a:xfrm>
          <a:off x="352399" y="594151"/>
          <a:ext cx="1077656" cy="345301"/>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solidFill>
            </a:rPr>
            <a:t>Total</a:t>
          </a:r>
          <a:r>
            <a:rPr lang="en-IN" sz="1400"/>
            <a:t> </a:t>
          </a:r>
          <a:r>
            <a:rPr lang="en-IN" sz="1400" baseline="0">
              <a:solidFill>
                <a:schemeClr val="bg1"/>
              </a:solidFill>
              <a:latin typeface="Aptos" panose="020B0004020202020204" pitchFamily="34" charset="0"/>
            </a:rPr>
            <a:t> sales</a:t>
          </a:r>
          <a:endParaRPr lang="en-IN" sz="1400">
            <a:solidFill>
              <a:schemeClr val="bg1"/>
            </a:solidFill>
            <a:latin typeface="Aptos" panose="020B0004020202020204" pitchFamily="34" charset="0"/>
          </a:endParaRPr>
        </a:p>
      </xdr:txBody>
    </xdr:sp>
    <xdr:clientData/>
  </xdr:twoCellAnchor>
  <xdr:twoCellAnchor>
    <xdr:from>
      <xdr:col>1</xdr:col>
      <xdr:colOff>0</xdr:colOff>
      <xdr:row>10</xdr:row>
      <xdr:rowOff>0</xdr:rowOff>
    </xdr:from>
    <xdr:to>
      <xdr:col>3</xdr:col>
      <xdr:colOff>358140</xdr:colOff>
      <xdr:row>15</xdr:row>
      <xdr:rowOff>175260</xdr:rowOff>
    </xdr:to>
    <xdr:sp macro="" textlink="pivots!B4">
      <xdr:nvSpPr>
        <xdr:cNvPr id="7" name="Rectangle 6">
          <a:extLst>
            <a:ext uri="{FF2B5EF4-FFF2-40B4-BE49-F238E27FC236}">
              <a16:creationId xmlns:a16="http://schemas.microsoft.com/office/drawing/2014/main" id="{69E2D191-3691-4197-994E-2F35986ACBBB}"/>
            </a:ext>
          </a:extLst>
        </xdr:cNvPr>
        <xdr:cNvSpPr/>
      </xdr:nvSpPr>
      <xdr:spPr>
        <a:xfrm>
          <a:off x="259080" y="1828800"/>
          <a:ext cx="1303020" cy="1089660"/>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6007D4D-B57B-4459-B0F3-9138AEFF7EDB}" type="TxLink">
            <a:rPr lang="en-US" sz="1400" b="0" i="0" u="none" strike="noStrike">
              <a:solidFill>
                <a:schemeClr val="bg1"/>
              </a:solidFill>
              <a:latin typeface="Calibri"/>
              <a:ea typeface="Calibri"/>
              <a:cs typeface="Calibri"/>
            </a:rPr>
            <a:pPr marL="0" indent="0" algn="ctr"/>
            <a:t>₹ 1,13,910.97</a:t>
          </a:fld>
          <a:endParaRPr lang="en-IN" sz="1400" b="0" i="0" u="none" strike="noStrike">
            <a:solidFill>
              <a:schemeClr val="bg1"/>
            </a:solidFill>
            <a:latin typeface="Calibri"/>
            <a:ea typeface="Calibri"/>
            <a:cs typeface="Calibri"/>
          </a:endParaRPr>
        </a:p>
      </xdr:txBody>
    </xdr:sp>
    <xdr:clientData/>
  </xdr:twoCellAnchor>
  <xdr:twoCellAnchor>
    <xdr:from>
      <xdr:col>1</xdr:col>
      <xdr:colOff>152400</xdr:colOff>
      <xdr:row>10</xdr:row>
      <xdr:rowOff>137160</xdr:rowOff>
    </xdr:from>
    <xdr:to>
      <xdr:col>3</xdr:col>
      <xdr:colOff>220980</xdr:colOff>
      <xdr:row>12</xdr:row>
      <xdr:rowOff>106680</xdr:rowOff>
    </xdr:to>
    <xdr:sp macro="" textlink="">
      <xdr:nvSpPr>
        <xdr:cNvPr id="8" name="TextBox 7">
          <a:extLst>
            <a:ext uri="{FF2B5EF4-FFF2-40B4-BE49-F238E27FC236}">
              <a16:creationId xmlns:a16="http://schemas.microsoft.com/office/drawing/2014/main" id="{CF4220DA-1A5D-4746-B1A8-F12F2D025361}"/>
            </a:ext>
          </a:extLst>
        </xdr:cNvPr>
        <xdr:cNvSpPr txBox="1"/>
      </xdr:nvSpPr>
      <xdr:spPr>
        <a:xfrm>
          <a:off x="411480" y="1965960"/>
          <a:ext cx="1013460" cy="33528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rPr>
            <a:t>Total</a:t>
          </a:r>
          <a:r>
            <a:rPr lang="en-IN" sz="1400" baseline="0">
              <a:solidFill>
                <a:schemeClr val="bg1"/>
              </a:solidFill>
            </a:rPr>
            <a:t> profit</a:t>
          </a:r>
          <a:endParaRPr lang="en-IN" sz="1400">
            <a:solidFill>
              <a:schemeClr val="bg1"/>
            </a:solidFill>
          </a:endParaRPr>
        </a:p>
      </xdr:txBody>
    </xdr:sp>
    <xdr:clientData/>
  </xdr:twoCellAnchor>
  <xdr:twoCellAnchor>
    <xdr:from>
      <xdr:col>1</xdr:col>
      <xdr:colOff>20594</xdr:colOff>
      <xdr:row>17</xdr:row>
      <xdr:rowOff>102972</xdr:rowOff>
    </xdr:from>
    <xdr:to>
      <xdr:col>3</xdr:col>
      <xdr:colOff>378734</xdr:colOff>
      <xdr:row>23</xdr:row>
      <xdr:rowOff>92881</xdr:rowOff>
    </xdr:to>
    <xdr:sp macro="" textlink="pivots!C4">
      <xdr:nvSpPr>
        <xdr:cNvPr id="9" name="Rectangle 8">
          <a:extLst>
            <a:ext uri="{FF2B5EF4-FFF2-40B4-BE49-F238E27FC236}">
              <a16:creationId xmlns:a16="http://schemas.microsoft.com/office/drawing/2014/main" id="{BA550050-5354-4E2B-B18F-0D1C5F914A02}"/>
            </a:ext>
          </a:extLst>
        </xdr:cNvPr>
        <xdr:cNvSpPr/>
      </xdr:nvSpPr>
      <xdr:spPr>
        <a:xfrm>
          <a:off x="278026" y="3253945"/>
          <a:ext cx="1305492" cy="1102017"/>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7B6EA2D-2E99-4CC3-8B89-BC26ABDB6B5E}" type="TxLink">
            <a:rPr lang="en-US" sz="1400" b="0" i="0" u="none" strike="noStrike">
              <a:solidFill>
                <a:schemeClr val="bg1"/>
              </a:solidFill>
              <a:latin typeface="Calibri"/>
              <a:ea typeface="Calibri"/>
              <a:cs typeface="Calibri"/>
            </a:rPr>
            <a:pPr marL="0" indent="0" algn="ctr"/>
            <a:t>100.00</a:t>
          </a:fld>
          <a:endParaRPr lang="en-IN" sz="1400" b="0" i="0" u="none" strike="noStrike">
            <a:solidFill>
              <a:schemeClr val="bg1"/>
            </a:solidFill>
            <a:latin typeface="Calibri"/>
            <a:ea typeface="Calibri"/>
            <a:cs typeface="Calibri"/>
          </a:endParaRPr>
        </a:p>
      </xdr:txBody>
    </xdr:sp>
    <xdr:clientData/>
  </xdr:twoCellAnchor>
  <xdr:twoCellAnchor>
    <xdr:from>
      <xdr:col>1</xdr:col>
      <xdr:colOff>30892</xdr:colOff>
      <xdr:row>18</xdr:row>
      <xdr:rowOff>10298</xdr:rowOff>
    </xdr:from>
    <xdr:to>
      <xdr:col>3</xdr:col>
      <xdr:colOff>350107</xdr:colOff>
      <xdr:row>20</xdr:row>
      <xdr:rowOff>41189</xdr:rowOff>
    </xdr:to>
    <xdr:sp macro="" textlink="">
      <xdr:nvSpPr>
        <xdr:cNvPr id="10" name="TextBox 9">
          <a:extLst>
            <a:ext uri="{FF2B5EF4-FFF2-40B4-BE49-F238E27FC236}">
              <a16:creationId xmlns:a16="http://schemas.microsoft.com/office/drawing/2014/main" id="{9CC4608E-F771-40B6-9ABE-4E1EBC248C2B}"/>
            </a:ext>
          </a:extLst>
        </xdr:cNvPr>
        <xdr:cNvSpPr txBox="1"/>
      </xdr:nvSpPr>
      <xdr:spPr>
        <a:xfrm>
          <a:off x="288324" y="3346622"/>
          <a:ext cx="1266567" cy="401594"/>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solidFill>
            </a:rPr>
            <a:t>Total</a:t>
          </a:r>
          <a:r>
            <a:rPr lang="en-IN" sz="1400" baseline="0">
              <a:solidFill>
                <a:schemeClr val="bg1"/>
              </a:solidFill>
            </a:rPr>
            <a:t> oders</a:t>
          </a:r>
          <a:endParaRPr lang="en-IN" sz="1400">
            <a:solidFill>
              <a:schemeClr val="bg1"/>
            </a:solidFill>
          </a:endParaRPr>
        </a:p>
      </xdr:txBody>
    </xdr:sp>
    <xdr:clientData/>
  </xdr:twoCellAnchor>
  <xdr:twoCellAnchor>
    <xdr:from>
      <xdr:col>1</xdr:col>
      <xdr:colOff>10297</xdr:colOff>
      <xdr:row>25</xdr:row>
      <xdr:rowOff>154459</xdr:rowOff>
    </xdr:from>
    <xdr:to>
      <xdr:col>3</xdr:col>
      <xdr:colOff>368437</xdr:colOff>
      <xdr:row>31</xdr:row>
      <xdr:rowOff>144368</xdr:rowOff>
    </xdr:to>
    <xdr:sp macro="" textlink="pivots!D4">
      <xdr:nvSpPr>
        <xdr:cNvPr id="11" name="Rectangle 10">
          <a:extLst>
            <a:ext uri="{FF2B5EF4-FFF2-40B4-BE49-F238E27FC236}">
              <a16:creationId xmlns:a16="http://schemas.microsoft.com/office/drawing/2014/main" id="{AD8E55B9-FEC8-4C87-A11F-D2D41502E916}"/>
            </a:ext>
          </a:extLst>
        </xdr:cNvPr>
        <xdr:cNvSpPr/>
      </xdr:nvSpPr>
      <xdr:spPr>
        <a:xfrm>
          <a:off x="267729" y="4788243"/>
          <a:ext cx="1305492" cy="1102017"/>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F4CC78B-E84F-4F57-986B-5F0BB14649F1}" type="TxLink">
            <a:rPr lang="en-US" sz="1400" b="0" i="0" u="none" strike="noStrike">
              <a:solidFill>
                <a:schemeClr val="bg1"/>
              </a:solidFill>
              <a:latin typeface="Calibri"/>
              <a:ea typeface="Calibri"/>
              <a:cs typeface="Calibri"/>
            </a:rPr>
            <a:pPr marL="0" indent="0" algn="ctr"/>
            <a:t>308.00</a:t>
          </a:fld>
          <a:endParaRPr lang="en-IN" sz="1400" b="0" i="0" u="none" strike="noStrike">
            <a:solidFill>
              <a:schemeClr val="bg1"/>
            </a:solidFill>
            <a:latin typeface="Calibri"/>
            <a:ea typeface="Calibri"/>
            <a:cs typeface="Calibri"/>
          </a:endParaRPr>
        </a:p>
      </xdr:txBody>
    </xdr:sp>
    <xdr:clientData/>
  </xdr:twoCellAnchor>
  <xdr:twoCellAnchor>
    <xdr:from>
      <xdr:col>1</xdr:col>
      <xdr:colOff>30893</xdr:colOff>
      <xdr:row>26</xdr:row>
      <xdr:rowOff>72081</xdr:rowOff>
    </xdr:from>
    <xdr:to>
      <xdr:col>3</xdr:col>
      <xdr:colOff>308919</xdr:colOff>
      <xdr:row>28</xdr:row>
      <xdr:rowOff>30892</xdr:rowOff>
    </xdr:to>
    <xdr:sp macro="" textlink="">
      <xdr:nvSpPr>
        <xdr:cNvPr id="12" name="TextBox 11">
          <a:extLst>
            <a:ext uri="{FF2B5EF4-FFF2-40B4-BE49-F238E27FC236}">
              <a16:creationId xmlns:a16="http://schemas.microsoft.com/office/drawing/2014/main" id="{FFB0FD99-488A-418F-9444-827935B6C225}"/>
            </a:ext>
          </a:extLst>
        </xdr:cNvPr>
        <xdr:cNvSpPr txBox="1"/>
      </xdr:nvSpPr>
      <xdr:spPr>
        <a:xfrm>
          <a:off x="288325" y="4891216"/>
          <a:ext cx="1225378" cy="329514"/>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solidFill>
            </a:rPr>
            <a:t>Sold</a:t>
          </a:r>
          <a:r>
            <a:rPr lang="en-IN" sz="1400" baseline="0">
              <a:solidFill>
                <a:schemeClr val="bg1"/>
              </a:solidFill>
            </a:rPr>
            <a:t> Quantity</a:t>
          </a:r>
          <a:endParaRPr lang="en-IN" sz="1400">
            <a:solidFill>
              <a:schemeClr val="bg1"/>
            </a:solidFill>
          </a:endParaRPr>
        </a:p>
      </xdr:txBody>
    </xdr:sp>
    <xdr:clientData/>
  </xdr:twoCellAnchor>
  <xdr:twoCellAnchor>
    <xdr:from>
      <xdr:col>1</xdr:col>
      <xdr:colOff>0</xdr:colOff>
      <xdr:row>33</xdr:row>
      <xdr:rowOff>0</xdr:rowOff>
    </xdr:from>
    <xdr:to>
      <xdr:col>3</xdr:col>
      <xdr:colOff>422189</xdr:colOff>
      <xdr:row>38</xdr:row>
      <xdr:rowOff>171121</xdr:rowOff>
    </xdr:to>
    <xdr:sp macro="" textlink="pivots!E4">
      <xdr:nvSpPr>
        <xdr:cNvPr id="13" name="Rectangle 12">
          <a:extLst>
            <a:ext uri="{FF2B5EF4-FFF2-40B4-BE49-F238E27FC236}">
              <a16:creationId xmlns:a16="http://schemas.microsoft.com/office/drawing/2014/main" id="{BC417DC0-40A3-48EE-A060-5E652F91027F}"/>
            </a:ext>
          </a:extLst>
        </xdr:cNvPr>
        <xdr:cNvSpPr/>
      </xdr:nvSpPr>
      <xdr:spPr>
        <a:xfrm>
          <a:off x="257432" y="6116595"/>
          <a:ext cx="1369541" cy="1097877"/>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C45AEA0-FD0E-47F1-A21A-0327B78C2142}" type="TxLink">
            <a:rPr lang="en-US" sz="1400" b="0" i="0" u="none" strike="noStrike">
              <a:solidFill>
                <a:schemeClr val="bg1"/>
              </a:solidFill>
              <a:latin typeface="Calibri"/>
              <a:ea typeface="Calibri"/>
              <a:cs typeface="Calibri"/>
            </a:rPr>
            <a:pPr marL="0" indent="0" algn="ctr"/>
            <a:t>₹ 5,485.60</a:t>
          </a:fld>
          <a:endParaRPr lang="en-IN" sz="1400" b="0" i="0" u="none" strike="noStrike">
            <a:solidFill>
              <a:schemeClr val="bg1"/>
            </a:solidFill>
            <a:latin typeface="Calibri"/>
            <a:ea typeface="Calibri"/>
            <a:cs typeface="Calibri"/>
          </a:endParaRPr>
        </a:p>
      </xdr:txBody>
    </xdr:sp>
    <xdr:clientData/>
  </xdr:twoCellAnchor>
  <xdr:twoCellAnchor>
    <xdr:from>
      <xdr:col>1</xdr:col>
      <xdr:colOff>30892</xdr:colOff>
      <xdr:row>33</xdr:row>
      <xdr:rowOff>1</xdr:rowOff>
    </xdr:from>
    <xdr:to>
      <xdr:col>3</xdr:col>
      <xdr:colOff>370701</xdr:colOff>
      <xdr:row>35</xdr:row>
      <xdr:rowOff>1</xdr:rowOff>
    </xdr:to>
    <xdr:sp macro="" textlink="">
      <xdr:nvSpPr>
        <xdr:cNvPr id="14" name="TextBox 13">
          <a:extLst>
            <a:ext uri="{FF2B5EF4-FFF2-40B4-BE49-F238E27FC236}">
              <a16:creationId xmlns:a16="http://schemas.microsoft.com/office/drawing/2014/main" id="{7C715094-2F57-4C57-92FB-5CBC6AE65AF3}"/>
            </a:ext>
          </a:extLst>
        </xdr:cNvPr>
        <xdr:cNvSpPr txBox="1"/>
      </xdr:nvSpPr>
      <xdr:spPr>
        <a:xfrm>
          <a:off x="288324" y="6116596"/>
          <a:ext cx="1287161" cy="370702"/>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solidFill>
            </a:rPr>
            <a:t>Avg</a:t>
          </a:r>
          <a:r>
            <a:rPr lang="en-IN" sz="1400" baseline="0">
              <a:solidFill>
                <a:schemeClr val="bg1"/>
              </a:solidFill>
            </a:rPr>
            <a:t> oder value</a:t>
          </a:r>
          <a:endParaRPr lang="en-IN" sz="1400">
            <a:solidFill>
              <a:schemeClr val="bg1"/>
            </a:solidFill>
          </a:endParaRPr>
        </a:p>
      </xdr:txBody>
    </xdr:sp>
    <xdr:clientData/>
  </xdr:twoCellAnchor>
  <xdr:twoCellAnchor>
    <xdr:from>
      <xdr:col>3</xdr:col>
      <xdr:colOff>496452</xdr:colOff>
      <xdr:row>3</xdr:row>
      <xdr:rowOff>11545</xdr:rowOff>
    </xdr:from>
    <xdr:to>
      <xdr:col>10</xdr:col>
      <xdr:colOff>433754</xdr:colOff>
      <xdr:row>18</xdr:row>
      <xdr:rowOff>140676</xdr:rowOff>
    </xdr:to>
    <xdr:graphicFrame macro="">
      <xdr:nvGraphicFramePr>
        <xdr:cNvPr id="15" name="Chart 14">
          <a:extLst>
            <a:ext uri="{FF2B5EF4-FFF2-40B4-BE49-F238E27FC236}">
              <a16:creationId xmlns:a16="http://schemas.microsoft.com/office/drawing/2014/main" id="{728D2A53-FC31-4E48-B65B-423E95FE2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457200</xdr:colOff>
      <xdr:row>3</xdr:row>
      <xdr:rowOff>9414</xdr:rowOff>
    </xdr:from>
    <xdr:to>
      <xdr:col>16</xdr:col>
      <xdr:colOff>330827</xdr:colOff>
      <xdr:row>11</xdr:row>
      <xdr:rowOff>46892</xdr:rowOff>
    </xdr:to>
    <xdr:graphicFrame macro="">
      <xdr:nvGraphicFramePr>
        <xdr:cNvPr id="16" name="Chart 15">
          <a:extLst>
            <a:ext uri="{FF2B5EF4-FFF2-40B4-BE49-F238E27FC236}">
              <a16:creationId xmlns:a16="http://schemas.microsoft.com/office/drawing/2014/main" id="{AAC70DEE-3D06-4915-849E-616127DC3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441080</xdr:colOff>
      <xdr:row>10</xdr:row>
      <xdr:rowOff>114822</xdr:rowOff>
    </xdr:from>
    <xdr:to>
      <xdr:col>16</xdr:col>
      <xdr:colOff>322881</xdr:colOff>
      <xdr:row>19</xdr:row>
      <xdr:rowOff>12916</xdr:rowOff>
    </xdr:to>
    <xdr:graphicFrame macro="">
      <xdr:nvGraphicFramePr>
        <xdr:cNvPr id="17" name="Chart 16">
          <a:extLst>
            <a:ext uri="{FF2B5EF4-FFF2-40B4-BE49-F238E27FC236}">
              <a16:creationId xmlns:a16="http://schemas.microsoft.com/office/drawing/2014/main" id="{516E0F7A-47AA-43F7-90F0-5C95D1F93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497840</xdr:colOff>
      <xdr:row>18</xdr:row>
      <xdr:rowOff>152400</xdr:rowOff>
    </xdr:from>
    <xdr:to>
      <xdr:col>11</xdr:col>
      <xdr:colOff>193040</xdr:colOff>
      <xdr:row>33</xdr:row>
      <xdr:rowOff>152400</xdr:rowOff>
    </xdr:to>
    <xdr:graphicFrame macro="">
      <xdr:nvGraphicFramePr>
        <xdr:cNvPr id="18" name="Chart 17">
          <a:extLst>
            <a:ext uri="{FF2B5EF4-FFF2-40B4-BE49-F238E27FC236}">
              <a16:creationId xmlns:a16="http://schemas.microsoft.com/office/drawing/2014/main" id="{D3F93BDE-4378-4ED2-8DDA-D48BA1FC12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302712</xdr:colOff>
      <xdr:row>21</xdr:row>
      <xdr:rowOff>117640</xdr:rowOff>
    </xdr:from>
    <xdr:to>
      <xdr:col>17</xdr:col>
      <xdr:colOff>282044</xdr:colOff>
      <xdr:row>33</xdr:row>
      <xdr:rowOff>62631</xdr:rowOff>
    </xdr:to>
    <xdr:graphicFrame macro="">
      <xdr:nvGraphicFramePr>
        <xdr:cNvPr id="19" name="Chart 18">
          <a:extLst>
            <a:ext uri="{FF2B5EF4-FFF2-40B4-BE49-F238E27FC236}">
              <a16:creationId xmlns:a16="http://schemas.microsoft.com/office/drawing/2014/main" id="{040461EC-044D-423A-BC7E-1B43A6DA47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489044</xdr:colOff>
      <xdr:row>2</xdr:row>
      <xdr:rowOff>56865</xdr:rowOff>
    </xdr:from>
    <xdr:to>
      <xdr:col>24</xdr:col>
      <xdr:colOff>147850</xdr:colOff>
      <xdr:row>17</xdr:row>
      <xdr:rowOff>70512</xdr:rowOff>
    </xdr:to>
    <xdr:graphicFrame macro="">
      <xdr:nvGraphicFramePr>
        <xdr:cNvPr id="20" name="Chart 19">
          <a:extLst>
            <a:ext uri="{FF2B5EF4-FFF2-40B4-BE49-F238E27FC236}">
              <a16:creationId xmlns:a16="http://schemas.microsoft.com/office/drawing/2014/main" id="{CEA70829-744A-42B5-B2A8-D797E4082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242522</xdr:colOff>
      <xdr:row>22</xdr:row>
      <xdr:rowOff>61395</xdr:rowOff>
    </xdr:from>
    <xdr:to>
      <xdr:col>24</xdr:col>
      <xdr:colOff>513650</xdr:colOff>
      <xdr:row>37</xdr:row>
      <xdr:rowOff>75566</xdr:rowOff>
    </xdr:to>
    <xdr:graphicFrame macro="">
      <xdr:nvGraphicFramePr>
        <xdr:cNvPr id="21" name="Chart 20">
          <a:extLst>
            <a:ext uri="{FF2B5EF4-FFF2-40B4-BE49-F238E27FC236}">
              <a16:creationId xmlns:a16="http://schemas.microsoft.com/office/drawing/2014/main" id="{0A4F7B95-431C-4164-B010-A334D3A688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24</xdr:col>
      <xdr:colOff>609858</xdr:colOff>
      <xdr:row>2</xdr:row>
      <xdr:rowOff>84531</xdr:rowOff>
    </xdr:from>
    <xdr:to>
      <xdr:col>28</xdr:col>
      <xdr:colOff>0</xdr:colOff>
      <xdr:row>16</xdr:row>
      <xdr:rowOff>0</xdr:rowOff>
    </xdr:to>
    <mc:AlternateContent xmlns:mc="http://schemas.openxmlformats.org/markup-compatibility/2006" xmlns:a14="http://schemas.microsoft.com/office/drawing/2010/main">
      <mc:Choice Requires="a14">
        <xdr:graphicFrame macro="">
          <xdr:nvGraphicFramePr>
            <xdr:cNvPr id="22" name="City">
              <a:extLst>
                <a:ext uri="{FF2B5EF4-FFF2-40B4-BE49-F238E27FC236}">
                  <a16:creationId xmlns:a16="http://schemas.microsoft.com/office/drawing/2014/main" id="{D16BD8C2-66D1-4A68-8321-21EE05F15B6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4660676" y="453986"/>
              <a:ext cx="1837779" cy="2501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203572</xdr:colOff>
      <xdr:row>2</xdr:row>
      <xdr:rowOff>41714</xdr:rowOff>
    </xdr:from>
    <xdr:to>
      <xdr:col>31</xdr:col>
      <xdr:colOff>196645</xdr:colOff>
      <xdr:row>10</xdr:row>
      <xdr:rowOff>110614</xdr:rowOff>
    </xdr:to>
    <mc:AlternateContent xmlns:mc="http://schemas.openxmlformats.org/markup-compatibility/2006" xmlns:a14="http://schemas.microsoft.com/office/drawing/2010/main">
      <mc:Choice Requires="a14">
        <xdr:graphicFrame macro="">
          <xdr:nvGraphicFramePr>
            <xdr:cNvPr id="24" name="Category">
              <a:extLst>
                <a:ext uri="{FF2B5EF4-FFF2-40B4-BE49-F238E27FC236}">
                  <a16:creationId xmlns:a16="http://schemas.microsoft.com/office/drawing/2014/main" id="{4458D881-E694-42A8-AD11-CE5105E3C31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702027" y="411169"/>
              <a:ext cx="1828800" cy="15467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449580</xdr:colOff>
      <xdr:row>0</xdr:row>
      <xdr:rowOff>38100</xdr:rowOff>
    </xdr:from>
    <xdr:to>
      <xdr:col>8</xdr:col>
      <xdr:colOff>22860</xdr:colOff>
      <xdr:row>1</xdr:row>
      <xdr:rowOff>152400</xdr:rowOff>
    </xdr:to>
    <xdr:sp macro="" textlink="">
      <xdr:nvSpPr>
        <xdr:cNvPr id="2" name="TextBox 1">
          <a:extLst>
            <a:ext uri="{FF2B5EF4-FFF2-40B4-BE49-F238E27FC236}">
              <a16:creationId xmlns:a16="http://schemas.microsoft.com/office/drawing/2014/main" id="{C053262F-6DE7-54D2-5C5C-4E8719ED2D24}"/>
            </a:ext>
          </a:extLst>
        </xdr:cNvPr>
        <xdr:cNvSpPr txBox="1"/>
      </xdr:nvSpPr>
      <xdr:spPr>
        <a:xfrm>
          <a:off x="1127760" y="38100"/>
          <a:ext cx="4815840" cy="297180"/>
        </a:xfrm>
        <a:prstGeom prst="rect">
          <a:avLst/>
        </a:prstGeom>
        <a:solidFill>
          <a:schemeClr val="bg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rgbClr val="FF0000"/>
              </a:solidFill>
            </a:rPr>
            <a:t>Ecomerce</a:t>
          </a:r>
          <a:r>
            <a:rPr lang="en-IN" sz="1600" baseline="0">
              <a:solidFill>
                <a:srgbClr val="FF0000"/>
              </a:solidFill>
            </a:rPr>
            <a:t> sales Data</a:t>
          </a:r>
          <a:endParaRPr lang="en-IN" sz="1600">
            <a:solidFill>
              <a:srgbClr val="FF0000"/>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A MICHAEL" refreshedDate="46284.92486979167" backgroundQuery="1" createdVersion="8" refreshedVersion="8" minRefreshableVersion="3" recordCount="0" supportSubquery="1" supportAdvancedDrill="1" xr:uid="{AD1FB30D-B6F9-4C57-86AE-C7C58F0FB16F}">
  <cacheSource type="external" connectionId="2"/>
  <cacheFields count="5">
    <cacheField name="[Measures].[Total Sales]" caption="Total Sales" numFmtId="0" hierarchy="15" level="32767"/>
    <cacheField name="[Measures].[Total porfit]" caption="Total porfit" numFmtId="0" hierarchy="16" level="32767"/>
    <cacheField name="[Measures].[Sum of Quantity]" caption="Sum of Quantity" numFmtId="0" hierarchy="25" level="32767"/>
    <cacheField name="[Measures].[Avg oder value]" caption="Avg oder value" numFmtId="0" hierarchy="18" level="32767"/>
    <cacheField name="[Measures].[Count of Product]" caption="Count of Product" numFmtId="0" hierarchy="24" level="32767"/>
  </cacheFields>
  <cacheHierarchies count="27">
    <cacheHierarchy uniqueName="[Ecom].[Order ID]" caption="Order ID" attribute="1" defaultMemberUniqueName="[Ecom].[Order ID].[All]" allUniqueName="[Ecom].[Order ID].[All]" dimensionUniqueName="[Ecom]" displayFolder="" count="0" memberValueDatatype="130" unbalanced="0"/>
    <cacheHierarchy uniqueName="[Ecom].[Order Date]" caption="Order Date" attribute="1" time="1" defaultMemberUniqueName="[Ecom].[Order Date].[All]" allUniqueName="[Ecom].[Order Date].[All]" dimensionUniqueName="[Ecom]" displayFolder="" count="0" memberValueDatatype="7" unbalanced="0"/>
    <cacheHierarchy uniqueName="[Ecom].[Customer]" caption="Customer" attribute="1" defaultMemberUniqueName="[Ecom].[Customer].[All]" allUniqueName="[Ecom].[Customer].[All]" dimensionUniqueName="[Ecom]" displayFolder="" count="0" memberValueDatatype="130" unbalanced="0"/>
    <cacheHierarchy uniqueName="[Ecom].[City]" caption="City" attribute="1" defaultMemberUniqueName="[Ecom].[City].[All]" allUniqueName="[Ecom].[City].[All]" dimensionUniqueName="[Ecom]" displayFolder="" count="0" memberValueDatatype="130" unbalanced="0"/>
    <cacheHierarchy uniqueName="[Ecom].[Category]" caption="Category" attribute="1" defaultMemberUniqueName="[Ecom].[Category].[All]" allUniqueName="[Ecom].[Category].[All]" dimensionUniqueName="[Ecom]" displayFolder="" count="0" memberValueDatatype="130" unbalanced="0"/>
    <cacheHierarchy uniqueName="[Ecom].[Product]" caption="Product" attribute="1" defaultMemberUniqueName="[Ecom].[Product].[All]" allUniqueName="[Ecom].[Product].[All]" dimensionUniqueName="[Ecom]" displayFolder="" count="0" memberValueDatatype="130" unbalanced="0"/>
    <cacheHierarchy uniqueName="[Ecom].[Quantity]" caption="Quantity" attribute="1" defaultMemberUniqueName="[Ecom].[Quantity].[All]" allUniqueName="[Ecom].[Quantity].[All]" dimensionUniqueName="[Ecom]" displayFolder="" count="0" memberValueDatatype="20" unbalanced="0"/>
    <cacheHierarchy uniqueName="[Ecom].[Unit Price]" caption="Unit Price" attribute="1" defaultMemberUniqueName="[Ecom].[Unit Price].[All]" allUniqueName="[Ecom].[Unit Price].[All]" dimensionUniqueName="[Ecom]" displayFolder="" count="0" memberValueDatatype="20" unbalanced="0"/>
    <cacheHierarchy uniqueName="[Ecom].[Sales]" caption="Sales" attribute="1" defaultMemberUniqueName="[Ecom].[Sales].[All]" allUniqueName="[Ecom].[Sales].[All]" dimensionUniqueName="[Ecom]" displayFolder="" count="0" memberValueDatatype="20" unbalanced="0"/>
    <cacheHierarchy uniqueName="[Ecom].[Profit]" caption="Profit" attribute="1" defaultMemberUniqueName="[Ecom].[Profit].[All]" allUniqueName="[Ecom].[Profit].[All]" dimensionUniqueName="[Ecom]" displayFolder="" count="0" memberValueDatatype="5" unbalanced="0"/>
    <cacheHierarchy uniqueName="[Ecom].[Payment Mode]" caption="Payment Mode" attribute="1" defaultMemberUniqueName="[Ecom].[Payment Mode].[All]" allUniqueName="[Ecom].[Payment Mode].[All]" dimensionUniqueName="[Ecom]" displayFolder="" count="0" memberValueDatatype="130" unbalanced="0"/>
    <cacheHierarchy uniqueName="[Ecom].[Order Date (Year)]" caption="Order Date (Year)" attribute="1" defaultMemberUniqueName="[Ecom].[Order Date (Year)].[All]" allUniqueName="[Ecom].[Order Date (Year)].[All]" dimensionUniqueName="[Ecom]" displayFolder="" count="0" memberValueDatatype="130" unbalanced="0"/>
    <cacheHierarchy uniqueName="[Ecom].[Order Date (Quarter)]" caption="Order Date (Quarter)" attribute="1" defaultMemberUniqueName="[Ecom].[Order Date (Quarter)].[All]" allUniqueName="[Ecom].[Order Date (Quarter)].[All]" dimensionUniqueName="[Ecom]" displayFolder="" count="0" memberValueDatatype="130" unbalanced="0"/>
    <cacheHierarchy uniqueName="[Ecom].[Order Date (Month)]" caption="Order Date (Month)" attribute="1" defaultMemberUniqueName="[Ecom].[Order Date (Month)].[All]" allUniqueName="[Ecom].[Order Date (Month)].[All]" dimensionUniqueName="[Ecom]" displayFolder="" count="0" memberValueDatatype="130" unbalanced="0"/>
    <cacheHierarchy uniqueName="[Ecom].[Order Date (Month Index)]" caption="Order Date (Month Index)" attribute="1" defaultMemberUniqueName="[Ecom].[Order Date (Month Index)].[All]" allUniqueName="[Ecom].[Order Date (Month Index)].[All]" dimensionUniqueName="[Ecom]" displayFolder="" count="0" memberValueDatatype="20" unbalanced="0" hidden="1"/>
    <cacheHierarchy uniqueName="[Measures].[Total Sales]" caption="Total Sales" measure="1" displayFolder="" measureGroup="Ecom" count="0" oneField="1">
      <fieldsUsage count="1">
        <fieldUsage x="0"/>
      </fieldsUsage>
    </cacheHierarchy>
    <cacheHierarchy uniqueName="[Measures].[Total porfit]" caption="Total porfit" measure="1" displayFolder="" measureGroup="Ecom" count="0" oneField="1">
      <fieldsUsage count="1">
        <fieldUsage x="1"/>
      </fieldsUsage>
    </cacheHierarchy>
    <cacheHierarchy uniqueName="[Measures].[Total oders]" caption="Total oders" measure="1" displayFolder="" measureGroup="Ecom" count="0"/>
    <cacheHierarchy uniqueName="[Measures].[Avg oder value]" caption="Avg oder value" measure="1" displayFolder="" measureGroup="Ecom" count="0" oneField="1">
      <fieldsUsage count="1">
        <fieldUsage x="3"/>
      </fieldsUsage>
    </cacheHierarchy>
    <cacheHierarchy uniqueName="[Measures].[__XL_Count Ecom]" caption="__XL_Count Ecom" measure="1" displayFolder="" measureGroup="Ecom" count="0" hidden="1"/>
    <cacheHierarchy uniqueName="[Measures].[__No measures defined]" caption="__No measures defined" measure="1" displayFolder="" count="0" hidden="1"/>
    <cacheHierarchy uniqueName="[Measures].[Count of Customer]" caption="Count of Customer" measure="1" displayFolder="" measureGroup="Ecom"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Ecom"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Ecom"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Ecom" count="0" oneField="1" hidden="1">
      <fieldsUsage count="1">
        <fieldUsage x="4"/>
      </fieldsUsage>
      <extLst>
        <ext xmlns:x15="http://schemas.microsoft.com/office/spreadsheetml/2010/11/main" uri="{B97F6D7D-B522-45F9-BDA1-12C45D357490}">
          <x15:cacheHierarchy aggregatedColumn="5"/>
        </ext>
      </extLst>
    </cacheHierarchy>
    <cacheHierarchy uniqueName="[Measures].[Sum of Quantity]" caption="Sum of Quantity" measure="1" displayFolder="" measureGroup="Ecom"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Ecom" count="0" hidden="1">
      <extLst>
        <ext xmlns:x15="http://schemas.microsoft.com/office/spreadsheetml/2010/11/main" uri="{B97F6D7D-B522-45F9-BDA1-12C45D357490}">
          <x15:cacheHierarchy aggregatedColumn="7"/>
        </ext>
      </extLst>
    </cacheHierarchy>
  </cacheHierarchies>
  <kpis count="0"/>
  <dimensions count="2">
    <dimension name="Ecom" uniqueName="[Ecom]" caption="Ecom"/>
    <dimension measure="1" name="Measures" uniqueName="[Measures]" caption="Measures"/>
  </dimensions>
  <measureGroups count="1">
    <measureGroup name="Ecom" caption="Ecom"/>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A MICHAEL" refreshedDate="46285.498636342592" backgroundQuery="1" createdVersion="8" refreshedVersion="8" minRefreshableVersion="3" recordCount="0" supportSubquery="1" supportAdvancedDrill="1" xr:uid="{73B201EE-B5B4-4BD1-A03F-310B38236D30}">
  <cacheSource type="external" connectionId="2"/>
  <cacheFields count="2">
    <cacheField name="[Ecom].[City].[City]" caption="City" numFmtId="0" hierarchy="3" level="1">
      <sharedItems containsSemiMixedTypes="0" containsNonDate="0" containsString="0"/>
    </cacheField>
    <cacheField name="[Ecom].[Category].[Category]" caption="Category" numFmtId="0" hierarchy="4" level="1">
      <sharedItems containsSemiMixedTypes="0" containsNonDate="0" containsString="0"/>
    </cacheField>
  </cacheFields>
  <cacheHierarchies count="27">
    <cacheHierarchy uniqueName="[Ecom].[Order ID]" caption="Order ID" attribute="1" defaultMemberUniqueName="[Ecom].[Order ID].[All]" allUniqueName="[Ecom].[Order ID].[All]" dimensionUniqueName="[Ecom]" displayFolder="" count="0" memberValueDatatype="130" unbalanced="0"/>
    <cacheHierarchy uniqueName="[Ecom].[Order Date]" caption="Order Date" attribute="1" time="1" defaultMemberUniqueName="[Ecom].[Order Date].[All]" allUniqueName="[Ecom].[Order Date].[All]" dimensionUniqueName="[Ecom]" displayFolder="" count="0" memberValueDatatype="7" unbalanced="0"/>
    <cacheHierarchy uniqueName="[Ecom].[Customer]" caption="Customer" attribute="1" defaultMemberUniqueName="[Ecom].[Customer].[All]" allUniqueName="[Ecom].[Customer].[All]" dimensionUniqueName="[Ecom]" displayFolder="" count="0" memberValueDatatype="130" unbalanced="0"/>
    <cacheHierarchy uniqueName="[Ecom].[City]" caption="City" attribute="1" defaultMemberUniqueName="[Ecom].[City].[All]" allUniqueName="[Ecom].[City].[All]" dimensionUniqueName="[Ecom]" displayFolder="" count="2" memberValueDatatype="130" unbalanced="0">
      <fieldsUsage count="2">
        <fieldUsage x="-1"/>
        <fieldUsage x="0"/>
      </fieldsUsage>
    </cacheHierarchy>
    <cacheHierarchy uniqueName="[Ecom].[Category]" caption="Category" attribute="1" defaultMemberUniqueName="[Ecom].[Category].[All]" allUniqueName="[Ecom].[Category].[All]" dimensionUniqueName="[Ecom]" displayFolder="" count="2" memberValueDatatype="130" unbalanced="0">
      <fieldsUsage count="2">
        <fieldUsage x="-1"/>
        <fieldUsage x="1"/>
      </fieldsUsage>
    </cacheHierarchy>
    <cacheHierarchy uniqueName="[Ecom].[Product]" caption="Product" attribute="1" defaultMemberUniqueName="[Ecom].[Product].[All]" allUniqueName="[Ecom].[Product].[All]" dimensionUniqueName="[Ecom]" displayFolder="" count="0" memberValueDatatype="130" unbalanced="0"/>
    <cacheHierarchy uniqueName="[Ecom].[Quantity]" caption="Quantity" attribute="1" defaultMemberUniqueName="[Ecom].[Quantity].[All]" allUniqueName="[Ecom].[Quantity].[All]" dimensionUniqueName="[Ecom]" displayFolder="" count="0" memberValueDatatype="20" unbalanced="0"/>
    <cacheHierarchy uniqueName="[Ecom].[Unit Price]" caption="Unit Price" attribute="1" defaultMemberUniqueName="[Ecom].[Unit Price].[All]" allUniqueName="[Ecom].[Unit Price].[All]" dimensionUniqueName="[Ecom]" displayFolder="" count="0" memberValueDatatype="20" unbalanced="0"/>
    <cacheHierarchy uniqueName="[Ecom].[Sales]" caption="Sales" attribute="1" defaultMemberUniqueName="[Ecom].[Sales].[All]" allUniqueName="[Ecom].[Sales].[All]" dimensionUniqueName="[Ecom]" displayFolder="" count="0" memberValueDatatype="20" unbalanced="0"/>
    <cacheHierarchy uniqueName="[Ecom].[Profit]" caption="Profit" attribute="1" defaultMemberUniqueName="[Ecom].[Profit].[All]" allUniqueName="[Ecom].[Profit].[All]" dimensionUniqueName="[Ecom]" displayFolder="" count="0" memberValueDatatype="5" unbalanced="0"/>
    <cacheHierarchy uniqueName="[Ecom].[Payment Mode]" caption="Payment Mode" attribute="1" defaultMemberUniqueName="[Ecom].[Payment Mode].[All]" allUniqueName="[Ecom].[Payment Mode].[All]" dimensionUniqueName="[Ecom]" displayFolder="" count="2" memberValueDatatype="130" unbalanced="0"/>
    <cacheHierarchy uniqueName="[Ecom].[Order Date (Year)]" caption="Order Date (Year)" attribute="1" defaultMemberUniqueName="[Ecom].[Order Date (Year)].[All]" allUniqueName="[Ecom].[Order Date (Year)].[All]" dimensionUniqueName="[Ecom]" displayFolder="" count="0" memberValueDatatype="130" unbalanced="0"/>
    <cacheHierarchy uniqueName="[Ecom].[Order Date (Quarter)]" caption="Order Date (Quarter)" attribute="1" defaultMemberUniqueName="[Ecom].[Order Date (Quarter)].[All]" allUniqueName="[Ecom].[Order Date (Quarter)].[All]" dimensionUniqueName="[Ecom]" displayFolder="" count="0" memberValueDatatype="130" unbalanced="0"/>
    <cacheHierarchy uniqueName="[Ecom].[Order Date (Month)]" caption="Order Date (Month)" attribute="1" defaultMemberUniqueName="[Ecom].[Order Date (Month)].[All]" allUniqueName="[Ecom].[Order Date (Month)].[All]" dimensionUniqueName="[Ecom]" displayFolder="" count="0" memberValueDatatype="130" unbalanced="0"/>
    <cacheHierarchy uniqueName="[Ecom].[Order Date (Month Index)]" caption="Order Date (Month Index)" attribute="1" defaultMemberUniqueName="[Ecom].[Order Date (Month Index)].[All]" allUniqueName="[Ecom].[Order Date (Month Index)].[All]" dimensionUniqueName="[Ecom]" displayFolder="" count="0" memberValueDatatype="20" unbalanced="0" hidden="1"/>
    <cacheHierarchy uniqueName="[Measures].[Total Sales]" caption="Total Sales" measure="1" displayFolder="" measureGroup="Ecom" count="0"/>
    <cacheHierarchy uniqueName="[Measures].[Total porfit]" caption="Total porfit" measure="1" displayFolder="" measureGroup="Ecom" count="0"/>
    <cacheHierarchy uniqueName="[Measures].[Total oders]" caption="Total oders" measure="1" displayFolder="" measureGroup="Ecom" count="0"/>
    <cacheHierarchy uniqueName="[Measures].[Avg oder value]" caption="Avg oder value" measure="1" displayFolder="" measureGroup="Ecom" count="0"/>
    <cacheHierarchy uniqueName="[Measures].[__XL_Count Ecom]" caption="__XL_Count Ecom" measure="1" displayFolder="" measureGroup="Ecom" count="0" hidden="1"/>
    <cacheHierarchy uniqueName="[Measures].[__No measures defined]" caption="__No measures defined" measure="1" displayFolder="" count="0" hidden="1"/>
    <cacheHierarchy uniqueName="[Measures].[Count of Customer]" caption="Count of Customer" measure="1" displayFolder="" measureGroup="Ecom"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Ecom"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Ecom"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Ecom"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Ecom"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Ecom" count="0" hidden="1">
      <extLst>
        <ext xmlns:x15="http://schemas.microsoft.com/office/spreadsheetml/2010/11/main" uri="{B97F6D7D-B522-45F9-BDA1-12C45D357490}">
          <x15:cacheHierarchy aggregatedColumn="7"/>
        </ext>
      </extLst>
    </cacheHierarchy>
  </cacheHierarchies>
  <kpis count="0"/>
  <dimensions count="2">
    <dimension name="Ecom" uniqueName="[Ecom]" caption="Ecom"/>
    <dimension measure="1" name="Measures" uniqueName="[Measures]" caption="Measures"/>
  </dimensions>
  <measureGroups count="1">
    <measureGroup name="Ecom" caption="Ecom"/>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A MICHAEL" refreshedDate="46285.498636805554" backgroundQuery="1" createdVersion="8" refreshedVersion="8" minRefreshableVersion="3" recordCount="0" supportSubquery="1" supportAdvancedDrill="1" xr:uid="{38E9D65E-988B-4B80-B77D-A54A380E3CE9}">
  <cacheSource type="external" connectionId="2"/>
  <cacheFields count="5">
    <cacheField name="[Measures].[Sum of Sales]" caption="Sum of Sales" numFmtId="0" hierarchy="22" level="32767"/>
    <cacheField name="[Ecom].[Order Date (Month)].[Order Date (Month)]" caption="Order Date (Month)" numFmtId="0" hierarchy="13" level="1">
      <sharedItems count="2">
        <s v="Jan"/>
        <s v="Feb"/>
      </sharedItems>
    </cacheField>
    <cacheField name="[Ecom].[City].[City]" caption="City" numFmtId="0" hierarchy="3" level="1">
      <sharedItems containsSemiMixedTypes="0" containsNonDate="0" containsString="0"/>
    </cacheField>
    <cacheField name="[Ecom].[Category].[Category]" caption="Category" numFmtId="0" hierarchy="4" level="1">
      <sharedItems containsSemiMixedTypes="0" containsNonDate="0" containsString="0"/>
    </cacheField>
    <cacheField name="Unsupported0" numFmtId="0" hierarchy="27" level="32767">
      <extLst>
        <ext xmlns:x14="http://schemas.microsoft.com/office/spreadsheetml/2009/9/main" uri="{63CAB8AC-B538-458d-9737-405883B0398D}">
          <x14:cacheField ignore="1"/>
        </ext>
      </extLst>
    </cacheField>
  </cacheFields>
  <cacheHierarchies count="28">
    <cacheHierarchy uniqueName="[Ecom].[Order ID]" caption="Order ID" attribute="1" defaultMemberUniqueName="[Ecom].[Order ID].[All]" allUniqueName="[Ecom].[Order ID].[All]" dimensionUniqueName="[Ecom]" displayFolder="" count="0" memberValueDatatype="130" unbalanced="0"/>
    <cacheHierarchy uniqueName="[Ecom].[Order Date]" caption="Order Date" attribute="1" time="1" defaultMemberUniqueName="[Ecom].[Order Date].[All]" allUniqueName="[Ecom].[Order Date].[All]" dimensionUniqueName="[Ecom]" displayFolder="" count="0" memberValueDatatype="7" unbalanced="0"/>
    <cacheHierarchy uniqueName="[Ecom].[Customer]" caption="Customer" attribute="1" defaultMemberUniqueName="[Ecom].[Customer].[All]" allUniqueName="[Ecom].[Customer].[All]" dimensionUniqueName="[Ecom]" displayFolder="" count="0" memberValueDatatype="130" unbalanced="0"/>
    <cacheHierarchy uniqueName="[Ecom].[City]" caption="City" attribute="1" defaultMemberUniqueName="[Ecom].[City].[All]" allUniqueName="[Ecom].[City].[All]" dimensionUniqueName="[Ecom]" displayFolder="" count="2" memberValueDatatype="130" unbalanced="0">
      <fieldsUsage count="2">
        <fieldUsage x="-1"/>
        <fieldUsage x="2"/>
      </fieldsUsage>
    </cacheHierarchy>
    <cacheHierarchy uniqueName="[Ecom].[Category]" caption="Category" attribute="1" defaultMemberUniqueName="[Ecom].[Category].[All]" allUniqueName="[Ecom].[Category].[All]" dimensionUniqueName="[Ecom]" displayFolder="" count="2" memberValueDatatype="130" unbalanced="0">
      <fieldsUsage count="2">
        <fieldUsage x="-1"/>
        <fieldUsage x="3"/>
      </fieldsUsage>
    </cacheHierarchy>
    <cacheHierarchy uniqueName="[Ecom].[Product]" caption="Product" attribute="1" defaultMemberUniqueName="[Ecom].[Product].[All]" allUniqueName="[Ecom].[Product].[All]" dimensionUniqueName="[Ecom]" displayFolder="" count="0" memberValueDatatype="130" unbalanced="0"/>
    <cacheHierarchy uniqueName="[Ecom].[Quantity]" caption="Quantity" attribute="1" defaultMemberUniqueName="[Ecom].[Quantity].[All]" allUniqueName="[Ecom].[Quantity].[All]" dimensionUniqueName="[Ecom]" displayFolder="" count="0" memberValueDatatype="20" unbalanced="0"/>
    <cacheHierarchy uniqueName="[Ecom].[Unit Price]" caption="Unit Price" attribute="1" defaultMemberUniqueName="[Ecom].[Unit Price].[All]" allUniqueName="[Ecom].[Unit Price].[All]" dimensionUniqueName="[Ecom]" displayFolder="" count="0" memberValueDatatype="20" unbalanced="0"/>
    <cacheHierarchy uniqueName="[Ecom].[Sales]" caption="Sales" attribute="1" defaultMemberUniqueName="[Ecom].[Sales].[All]" allUniqueName="[Ecom].[Sales].[All]" dimensionUniqueName="[Ecom]" displayFolder="" count="0" memberValueDatatype="20" unbalanced="0"/>
    <cacheHierarchy uniqueName="[Ecom].[Profit]" caption="Profit" attribute="1" defaultMemberUniqueName="[Ecom].[Profit].[All]" allUniqueName="[Ecom].[Profit].[All]" dimensionUniqueName="[Ecom]" displayFolder="" count="0" memberValueDatatype="5" unbalanced="0"/>
    <cacheHierarchy uniqueName="[Ecom].[Payment Mode]" caption="Payment Mode" attribute="1" defaultMemberUniqueName="[Ecom].[Payment Mode].[All]" allUniqueName="[Ecom].[Payment Mode].[All]" dimensionUniqueName="[Ecom]" displayFolder="" count="2" memberValueDatatype="130" unbalanced="0"/>
    <cacheHierarchy uniqueName="[Ecom].[Order Date (Year)]" caption="Order Date (Year)" attribute="1" defaultMemberUniqueName="[Ecom].[Order Date (Year)].[All]" allUniqueName="[Ecom].[Order Date (Year)].[All]" dimensionUniqueName="[Ecom]" displayFolder="" count="0" memberValueDatatype="130" unbalanced="0"/>
    <cacheHierarchy uniqueName="[Ecom].[Order Date (Quarter)]" caption="Order Date (Quarter)" attribute="1" defaultMemberUniqueName="[Ecom].[Order Date (Quarter)].[All]" allUniqueName="[Ecom].[Order Date (Quarter)].[All]" dimensionUniqueName="[Ecom]" displayFolder="" count="0" memberValueDatatype="130" unbalanced="0"/>
    <cacheHierarchy uniqueName="[Ecom].[Order Date (Month)]" caption="Order Date (Month)" attribute="1" defaultMemberUniqueName="[Ecom].[Order Date (Month)].[All]" allUniqueName="[Ecom].[Order Date (Month)].[All]" dimensionUniqueName="[Ecom]" displayFolder="" count="2" memberValueDatatype="130" unbalanced="0">
      <fieldsUsage count="2">
        <fieldUsage x="-1"/>
        <fieldUsage x="1"/>
      </fieldsUsage>
    </cacheHierarchy>
    <cacheHierarchy uniqueName="[Ecom].[Order Date (Month Index)]" caption="Order Date (Month Index)" attribute="1" defaultMemberUniqueName="[Ecom].[Order Date (Month Index)].[All]" allUniqueName="[Ecom].[Order Date (Month Index)].[All]" dimensionUniqueName="[Ecom]" displayFolder="" count="0" memberValueDatatype="20" unbalanced="0" hidden="1"/>
    <cacheHierarchy uniqueName="[Measures].[Total Sales]" caption="Total Sales" measure="1" displayFolder="" measureGroup="Ecom" count="0"/>
    <cacheHierarchy uniqueName="[Measures].[Total porfit]" caption="Total porfit" measure="1" displayFolder="" measureGroup="Ecom" count="0"/>
    <cacheHierarchy uniqueName="[Measures].[Total oders]" caption="Total oders" measure="1" displayFolder="" measureGroup="Ecom" count="0"/>
    <cacheHierarchy uniqueName="[Measures].[Avg oder value]" caption="Avg oder value" measure="1" displayFolder="" measureGroup="Ecom" count="0"/>
    <cacheHierarchy uniqueName="[Measures].[__XL_Count Ecom]" caption="__XL_Count Ecom" measure="1" displayFolder="" measureGroup="Ecom" count="0" hidden="1"/>
    <cacheHierarchy uniqueName="[Measures].[__No measures defined]" caption="__No measures defined" measure="1" displayFolder="" count="0" hidden="1"/>
    <cacheHierarchy uniqueName="[Measures].[Count of Customer]" caption="Count of Customer" measure="1" displayFolder="" measureGroup="Ecom"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Ecom"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Profit]" caption="Sum of Profit" measure="1" displayFolder="" measureGroup="Ecom"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Ecom"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Ecom"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Ecom" count="0" hidden="1">
      <extLst>
        <ext xmlns:x15="http://schemas.microsoft.com/office/spreadsheetml/2010/11/main" uri="{B97F6D7D-B522-45F9-BDA1-12C45D357490}">
          <x15:cacheHierarchy aggregatedColumn="7"/>
        </ext>
      </extLst>
    </cacheHierarchy>
    <cacheHierarchy uniqueName="Unsupported0" caption="Order ID" measure="1" count="0">
      <extLst>
        <ext xmlns:x14="http://schemas.microsoft.com/office/spreadsheetml/2009/9/main" uri="{8CF416AD-EC4C-4aba-99F5-12A058AE0983}">
          <x14:cacheHierarchy ignore="1"/>
        </ext>
      </extLst>
    </cacheHierarchy>
  </cacheHierarchies>
  <kpis count="0"/>
  <dimensions count="2">
    <dimension name="Ecom" uniqueName="[Ecom]" caption="Ecom"/>
    <dimension measure="1" name="Measures" uniqueName="[Measures]" caption="Measures"/>
  </dimensions>
  <measureGroups count="1">
    <measureGroup name="Ecom" caption="Ecom"/>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A MICHAEL" refreshedDate="46285.498637152778" backgroundQuery="1" createdVersion="8" refreshedVersion="8" minRefreshableVersion="3" recordCount="0" supportSubquery="1" supportAdvancedDrill="1" xr:uid="{12728DA0-0F43-4DB2-8DA7-3D2F2FB4E198}">
  <cacheSource type="external" connectionId="2"/>
  <cacheFields count="4">
    <cacheField name="[Measures].[Sum of Sales]" caption="Sum of Sales" numFmtId="0" hierarchy="22" level="32767"/>
    <cacheField name="[Ecom].[Order Date (Year)].[Order Date (Year)]" caption="Order Date (Year)" numFmtId="0" hierarchy="11" level="1">
      <sharedItems count="1">
        <s v="2026"/>
      </sharedItems>
    </cacheField>
    <cacheField name="[Ecom].[City].[City]" caption="City" numFmtId="0" hierarchy="3" level="1">
      <sharedItems containsSemiMixedTypes="0" containsNonDate="0" containsString="0"/>
    </cacheField>
    <cacheField name="[Ecom].[Category].[Category]" caption="Category" numFmtId="0" hierarchy="4" level="1">
      <sharedItems containsSemiMixedTypes="0" containsNonDate="0" containsString="0"/>
    </cacheField>
  </cacheFields>
  <cacheHierarchies count="27">
    <cacheHierarchy uniqueName="[Ecom].[Order ID]" caption="Order ID" attribute="1" defaultMemberUniqueName="[Ecom].[Order ID].[All]" allUniqueName="[Ecom].[Order ID].[All]" dimensionUniqueName="[Ecom]" displayFolder="" count="0" memberValueDatatype="130" unbalanced="0"/>
    <cacheHierarchy uniqueName="[Ecom].[Order Date]" caption="Order Date" attribute="1" time="1" defaultMemberUniqueName="[Ecom].[Order Date].[All]" allUniqueName="[Ecom].[Order Date].[All]" dimensionUniqueName="[Ecom]" displayFolder="" count="0" memberValueDatatype="7" unbalanced="0"/>
    <cacheHierarchy uniqueName="[Ecom].[Customer]" caption="Customer" attribute="1" defaultMemberUniqueName="[Ecom].[Customer].[All]" allUniqueName="[Ecom].[Customer].[All]" dimensionUniqueName="[Ecom]" displayFolder="" count="0" memberValueDatatype="130" unbalanced="0"/>
    <cacheHierarchy uniqueName="[Ecom].[City]" caption="City" attribute="1" defaultMemberUniqueName="[Ecom].[City].[All]" allUniqueName="[Ecom].[City].[All]" dimensionUniqueName="[Ecom]" displayFolder="" count="2" memberValueDatatype="130" unbalanced="0">
      <fieldsUsage count="2">
        <fieldUsage x="-1"/>
        <fieldUsage x="2"/>
      </fieldsUsage>
    </cacheHierarchy>
    <cacheHierarchy uniqueName="[Ecom].[Category]" caption="Category" attribute="1" defaultMemberUniqueName="[Ecom].[Category].[All]" allUniqueName="[Ecom].[Category].[All]" dimensionUniqueName="[Ecom]" displayFolder="" count="2" memberValueDatatype="130" unbalanced="0">
      <fieldsUsage count="2">
        <fieldUsage x="-1"/>
        <fieldUsage x="3"/>
      </fieldsUsage>
    </cacheHierarchy>
    <cacheHierarchy uniqueName="[Ecom].[Product]" caption="Product" attribute="1" defaultMemberUniqueName="[Ecom].[Product].[All]" allUniqueName="[Ecom].[Product].[All]" dimensionUniqueName="[Ecom]" displayFolder="" count="0" memberValueDatatype="130" unbalanced="0"/>
    <cacheHierarchy uniqueName="[Ecom].[Quantity]" caption="Quantity" attribute="1" defaultMemberUniqueName="[Ecom].[Quantity].[All]" allUniqueName="[Ecom].[Quantity].[All]" dimensionUniqueName="[Ecom]" displayFolder="" count="0" memberValueDatatype="20" unbalanced="0"/>
    <cacheHierarchy uniqueName="[Ecom].[Unit Price]" caption="Unit Price" attribute="1" defaultMemberUniqueName="[Ecom].[Unit Price].[All]" allUniqueName="[Ecom].[Unit Price].[All]" dimensionUniqueName="[Ecom]" displayFolder="" count="0" memberValueDatatype="20" unbalanced="0"/>
    <cacheHierarchy uniqueName="[Ecom].[Sales]" caption="Sales" attribute="1" defaultMemberUniqueName="[Ecom].[Sales].[All]" allUniqueName="[Ecom].[Sales].[All]" dimensionUniqueName="[Ecom]" displayFolder="" count="0" memberValueDatatype="20" unbalanced="0"/>
    <cacheHierarchy uniqueName="[Ecom].[Profit]" caption="Profit" attribute="1" defaultMemberUniqueName="[Ecom].[Profit].[All]" allUniqueName="[Ecom].[Profit].[All]" dimensionUniqueName="[Ecom]" displayFolder="" count="0" memberValueDatatype="5" unbalanced="0"/>
    <cacheHierarchy uniqueName="[Ecom].[Payment Mode]" caption="Payment Mode" attribute="1" defaultMemberUniqueName="[Ecom].[Payment Mode].[All]" allUniqueName="[Ecom].[Payment Mode].[All]" dimensionUniqueName="[Ecom]" displayFolder="" count="2" memberValueDatatype="130" unbalanced="0"/>
    <cacheHierarchy uniqueName="[Ecom].[Order Date (Year)]" caption="Order Date (Year)" attribute="1" defaultMemberUniqueName="[Ecom].[Order Date (Year)].[All]" allUniqueName="[Ecom].[Order Date (Year)].[All]" dimensionUniqueName="[Ecom]" displayFolder="" count="2" memberValueDatatype="130" unbalanced="0">
      <fieldsUsage count="2">
        <fieldUsage x="-1"/>
        <fieldUsage x="1"/>
      </fieldsUsage>
    </cacheHierarchy>
    <cacheHierarchy uniqueName="[Ecom].[Order Date (Quarter)]" caption="Order Date (Quarter)" attribute="1" defaultMemberUniqueName="[Ecom].[Order Date (Quarter)].[All]" allUniqueName="[Ecom].[Order Date (Quarter)].[All]" dimensionUniqueName="[Ecom]" displayFolder="" count="0" memberValueDatatype="130" unbalanced="0"/>
    <cacheHierarchy uniqueName="[Ecom].[Order Date (Month)]" caption="Order Date (Month)" attribute="1" defaultMemberUniqueName="[Ecom].[Order Date (Month)].[All]" allUniqueName="[Ecom].[Order Date (Month)].[All]" dimensionUniqueName="[Ecom]" displayFolder="" count="0" memberValueDatatype="130" unbalanced="0"/>
    <cacheHierarchy uniqueName="[Ecom].[Order Date (Month Index)]" caption="Order Date (Month Index)" attribute="1" defaultMemberUniqueName="[Ecom].[Order Date (Month Index)].[All]" allUniqueName="[Ecom].[Order Date (Month Index)].[All]" dimensionUniqueName="[Ecom]" displayFolder="" count="0" memberValueDatatype="20" unbalanced="0" hidden="1"/>
    <cacheHierarchy uniqueName="[Measures].[Total Sales]" caption="Total Sales" measure="1" displayFolder="" measureGroup="Ecom" count="0"/>
    <cacheHierarchy uniqueName="[Measures].[Total porfit]" caption="Total porfit" measure="1" displayFolder="" measureGroup="Ecom" count="0"/>
    <cacheHierarchy uniqueName="[Measures].[Total oders]" caption="Total oders" measure="1" displayFolder="" measureGroup="Ecom" count="0"/>
    <cacheHierarchy uniqueName="[Measures].[Avg oder value]" caption="Avg oder value" measure="1" displayFolder="" measureGroup="Ecom" count="0"/>
    <cacheHierarchy uniqueName="[Measures].[__XL_Count Ecom]" caption="__XL_Count Ecom" measure="1" displayFolder="" measureGroup="Ecom" count="0" hidden="1"/>
    <cacheHierarchy uniqueName="[Measures].[__No measures defined]" caption="__No measures defined" measure="1" displayFolder="" count="0" hidden="1"/>
    <cacheHierarchy uniqueName="[Measures].[Count of Customer]" caption="Count of Customer" measure="1" displayFolder="" measureGroup="Ecom"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Ecom"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Profit]" caption="Sum of Profit" measure="1" displayFolder="" measureGroup="Ecom"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Ecom"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Ecom"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Ecom" count="0" hidden="1">
      <extLst>
        <ext xmlns:x15="http://schemas.microsoft.com/office/spreadsheetml/2010/11/main" uri="{B97F6D7D-B522-45F9-BDA1-12C45D357490}">
          <x15:cacheHierarchy aggregatedColumn="7"/>
        </ext>
      </extLst>
    </cacheHierarchy>
  </cacheHierarchies>
  <kpis count="0"/>
  <dimensions count="2">
    <dimension name="Ecom" uniqueName="[Ecom]" caption="Ecom"/>
    <dimension measure="1" name="Measures" uniqueName="[Measures]" caption="Measures"/>
  </dimensions>
  <measureGroups count="1">
    <measureGroup name="Ecom" caption="Ecom"/>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A MICHAEL" refreshedDate="46285.498637615739" backgroundQuery="1" createdVersion="8" refreshedVersion="8" minRefreshableVersion="3" recordCount="0" supportSubquery="1" supportAdvancedDrill="1" xr:uid="{9237A49A-E482-416B-9D8E-41D4A4DF03AE}">
  <cacheSource type="external" connectionId="2"/>
  <cacheFields count="3">
    <cacheField name="[Measures].[Sum of Sales]" caption="Sum of Sales" numFmtId="0" hierarchy="22" level="32767"/>
    <cacheField name="[Ecom].[Order Date (Year)].[Order Date (Year)]" caption="Order Date (Year)" numFmtId="0" hierarchy="11" level="1">
      <sharedItems count="2">
        <s v="2025"/>
        <s v="2026"/>
      </sharedItems>
    </cacheField>
    <cacheField name="[Ecom].[Category].[Category]" caption="Category" numFmtId="0" hierarchy="4" level="1">
      <sharedItems containsSemiMixedTypes="0" containsNonDate="0" containsString="0"/>
    </cacheField>
  </cacheFields>
  <cacheHierarchies count="27">
    <cacheHierarchy uniqueName="[Ecom].[Order ID]" caption="Order ID" attribute="1" defaultMemberUniqueName="[Ecom].[Order ID].[All]" allUniqueName="[Ecom].[Order ID].[All]" dimensionUniqueName="[Ecom]" displayFolder="" count="0" memberValueDatatype="130" unbalanced="0"/>
    <cacheHierarchy uniqueName="[Ecom].[Order Date]" caption="Order Date" attribute="1" time="1" defaultMemberUniqueName="[Ecom].[Order Date].[All]" allUniqueName="[Ecom].[Order Date].[All]" dimensionUniqueName="[Ecom]" displayFolder="" count="0" memberValueDatatype="7" unbalanced="0"/>
    <cacheHierarchy uniqueName="[Ecom].[Customer]" caption="Customer" attribute="1" defaultMemberUniqueName="[Ecom].[Customer].[All]" allUniqueName="[Ecom].[Customer].[All]" dimensionUniqueName="[Ecom]" displayFolder="" count="0" memberValueDatatype="130" unbalanced="0"/>
    <cacheHierarchy uniqueName="[Ecom].[City]" caption="City" attribute="1" defaultMemberUniqueName="[Ecom].[City].[All]" allUniqueName="[Ecom].[City].[All]" dimensionUniqueName="[Ecom]" displayFolder="" count="0" memberValueDatatype="130" unbalanced="0"/>
    <cacheHierarchy uniqueName="[Ecom].[Category]" caption="Category" attribute="1" defaultMemberUniqueName="[Ecom].[Category].[All]" allUniqueName="[Ecom].[Category].[All]" dimensionUniqueName="[Ecom]" displayFolder="" count="2" memberValueDatatype="130" unbalanced="0">
      <fieldsUsage count="2">
        <fieldUsage x="-1"/>
        <fieldUsage x="2"/>
      </fieldsUsage>
    </cacheHierarchy>
    <cacheHierarchy uniqueName="[Ecom].[Product]" caption="Product" attribute="1" defaultMemberUniqueName="[Ecom].[Product].[All]" allUniqueName="[Ecom].[Product].[All]" dimensionUniqueName="[Ecom]" displayFolder="" count="0" memberValueDatatype="130" unbalanced="0"/>
    <cacheHierarchy uniqueName="[Ecom].[Quantity]" caption="Quantity" attribute="1" defaultMemberUniqueName="[Ecom].[Quantity].[All]" allUniqueName="[Ecom].[Quantity].[All]" dimensionUniqueName="[Ecom]" displayFolder="" count="0" memberValueDatatype="20" unbalanced="0"/>
    <cacheHierarchy uniqueName="[Ecom].[Unit Price]" caption="Unit Price" attribute="1" defaultMemberUniqueName="[Ecom].[Unit Price].[All]" allUniqueName="[Ecom].[Unit Price].[All]" dimensionUniqueName="[Ecom]" displayFolder="" count="0" memberValueDatatype="20" unbalanced="0"/>
    <cacheHierarchy uniqueName="[Ecom].[Sales]" caption="Sales" attribute="1" defaultMemberUniqueName="[Ecom].[Sales].[All]" allUniqueName="[Ecom].[Sales].[All]" dimensionUniqueName="[Ecom]" displayFolder="" count="0" memberValueDatatype="20" unbalanced="0"/>
    <cacheHierarchy uniqueName="[Ecom].[Profit]" caption="Profit" attribute="1" defaultMemberUniqueName="[Ecom].[Profit].[All]" allUniqueName="[Ecom].[Profit].[All]" dimensionUniqueName="[Ecom]" displayFolder="" count="0" memberValueDatatype="5" unbalanced="0"/>
    <cacheHierarchy uniqueName="[Ecom].[Payment Mode]" caption="Payment Mode" attribute="1" defaultMemberUniqueName="[Ecom].[Payment Mode].[All]" allUniqueName="[Ecom].[Payment Mode].[All]" dimensionUniqueName="[Ecom]" displayFolder="" count="2" memberValueDatatype="130" unbalanced="0"/>
    <cacheHierarchy uniqueName="[Ecom].[Order Date (Year)]" caption="Order Date (Year)" attribute="1" defaultMemberUniqueName="[Ecom].[Order Date (Year)].[All]" allUniqueName="[Ecom].[Order Date (Year)].[All]" dimensionUniqueName="[Ecom]" displayFolder="" count="2" memberValueDatatype="130" unbalanced="0">
      <fieldsUsage count="2">
        <fieldUsage x="-1"/>
        <fieldUsage x="1"/>
      </fieldsUsage>
    </cacheHierarchy>
    <cacheHierarchy uniqueName="[Ecom].[Order Date (Quarter)]" caption="Order Date (Quarter)" attribute="1" defaultMemberUniqueName="[Ecom].[Order Date (Quarter)].[All]" allUniqueName="[Ecom].[Order Date (Quarter)].[All]" dimensionUniqueName="[Ecom]" displayFolder="" count="0" memberValueDatatype="130" unbalanced="0"/>
    <cacheHierarchy uniqueName="[Ecom].[Order Date (Month)]" caption="Order Date (Month)" attribute="1" defaultMemberUniqueName="[Ecom].[Order Date (Month)].[All]" allUniqueName="[Ecom].[Order Date (Month)].[All]" dimensionUniqueName="[Ecom]" displayFolder="" count="0" memberValueDatatype="130" unbalanced="0"/>
    <cacheHierarchy uniqueName="[Ecom].[Order Date (Month Index)]" caption="Order Date (Month Index)" attribute="1" defaultMemberUniqueName="[Ecom].[Order Date (Month Index)].[All]" allUniqueName="[Ecom].[Order Date (Month Index)].[All]" dimensionUniqueName="[Ecom]" displayFolder="" count="0" memberValueDatatype="20" unbalanced="0" hidden="1"/>
    <cacheHierarchy uniqueName="[Measures].[Total Sales]" caption="Total Sales" measure="1" displayFolder="" measureGroup="Ecom" count="0"/>
    <cacheHierarchy uniqueName="[Measures].[Total porfit]" caption="Total porfit" measure="1" displayFolder="" measureGroup="Ecom" count="0"/>
    <cacheHierarchy uniqueName="[Measures].[Total oders]" caption="Total oders" measure="1" displayFolder="" measureGroup="Ecom" count="0"/>
    <cacheHierarchy uniqueName="[Measures].[Avg oder value]" caption="Avg oder value" measure="1" displayFolder="" measureGroup="Ecom" count="0"/>
    <cacheHierarchy uniqueName="[Measures].[__XL_Count Ecom]" caption="__XL_Count Ecom" measure="1" displayFolder="" measureGroup="Ecom" count="0" hidden="1"/>
    <cacheHierarchy uniqueName="[Measures].[__No measures defined]" caption="__No measures defined" measure="1" displayFolder="" count="0" hidden="1"/>
    <cacheHierarchy uniqueName="[Measures].[Count of Customer]" caption="Count of Customer" measure="1" displayFolder="" measureGroup="Ecom"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Ecom"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Profit]" caption="Sum of Profit" measure="1" displayFolder="" measureGroup="Ecom"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Ecom"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Ecom"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Ecom" count="0" hidden="1">
      <extLst>
        <ext xmlns:x15="http://schemas.microsoft.com/office/spreadsheetml/2010/11/main" uri="{B97F6D7D-B522-45F9-BDA1-12C45D357490}">
          <x15:cacheHierarchy aggregatedColumn="7"/>
        </ext>
      </extLst>
    </cacheHierarchy>
  </cacheHierarchies>
  <kpis count="0"/>
  <dimensions count="2">
    <dimension name="Ecom" uniqueName="[Ecom]" caption="Ecom"/>
    <dimension measure="1" name="Measures" uniqueName="[Measures]" caption="Measures"/>
  </dimensions>
  <measureGroups count="1">
    <measureGroup name="Ecom" caption="Ecom"/>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A MICHAEL" refreshedDate="46285.498638194447" backgroundQuery="1" createdVersion="8" refreshedVersion="8" minRefreshableVersion="3" recordCount="0" supportSubquery="1" supportAdvancedDrill="1" xr:uid="{0910C920-398E-436D-B2D0-4BFF26E97288}">
  <cacheSource type="external" connectionId="2"/>
  <cacheFields count="4">
    <cacheField name="[Ecom].[Order Date (Quarter)].[Order Date (Quarter)]" caption="Order Date (Quarter)" numFmtId="0" hierarchy="12" level="1">
      <sharedItems count="2">
        <s v="Qtr1"/>
        <s v="Qtr4" u="1"/>
      </sharedItems>
    </cacheField>
    <cacheField name="[Measures].[Sum of Sales]" caption="Sum of Sales" numFmtId="0" hierarchy="22" level="32767"/>
    <cacheField name="[Ecom].[City].[City]" caption="City" numFmtId="0" hierarchy="3" level="1">
      <sharedItems containsSemiMixedTypes="0" containsNonDate="0" containsString="0"/>
    </cacheField>
    <cacheField name="[Ecom].[Category].[Category]" caption="Category" numFmtId="0" hierarchy="4" level="1">
      <sharedItems containsSemiMixedTypes="0" containsNonDate="0" containsString="0"/>
    </cacheField>
  </cacheFields>
  <cacheHierarchies count="27">
    <cacheHierarchy uniqueName="[Ecom].[Order ID]" caption="Order ID" attribute="1" defaultMemberUniqueName="[Ecom].[Order ID].[All]" allUniqueName="[Ecom].[Order ID].[All]" dimensionUniqueName="[Ecom]" displayFolder="" count="0" memberValueDatatype="130" unbalanced="0"/>
    <cacheHierarchy uniqueName="[Ecom].[Order Date]" caption="Order Date" attribute="1" time="1" defaultMemberUniqueName="[Ecom].[Order Date].[All]" allUniqueName="[Ecom].[Order Date].[All]" dimensionUniqueName="[Ecom]" displayFolder="" count="0" memberValueDatatype="7" unbalanced="0"/>
    <cacheHierarchy uniqueName="[Ecom].[Customer]" caption="Customer" attribute="1" defaultMemberUniqueName="[Ecom].[Customer].[All]" allUniqueName="[Ecom].[Customer].[All]" dimensionUniqueName="[Ecom]" displayFolder="" count="0" memberValueDatatype="130" unbalanced="0"/>
    <cacheHierarchy uniqueName="[Ecom].[City]" caption="City" attribute="1" defaultMemberUniqueName="[Ecom].[City].[All]" allUniqueName="[Ecom].[City].[All]" dimensionUniqueName="[Ecom]" displayFolder="" count="2" memberValueDatatype="130" unbalanced="0">
      <fieldsUsage count="2">
        <fieldUsage x="-1"/>
        <fieldUsage x="2"/>
      </fieldsUsage>
    </cacheHierarchy>
    <cacheHierarchy uniqueName="[Ecom].[Category]" caption="Category" attribute="1" defaultMemberUniqueName="[Ecom].[Category].[All]" allUniqueName="[Ecom].[Category].[All]" dimensionUniqueName="[Ecom]" displayFolder="" count="2" memberValueDatatype="130" unbalanced="0">
      <fieldsUsage count="2">
        <fieldUsage x="-1"/>
        <fieldUsage x="3"/>
      </fieldsUsage>
    </cacheHierarchy>
    <cacheHierarchy uniqueName="[Ecom].[Product]" caption="Product" attribute="1" defaultMemberUniqueName="[Ecom].[Product].[All]" allUniqueName="[Ecom].[Product].[All]" dimensionUniqueName="[Ecom]" displayFolder="" count="0" memberValueDatatype="130" unbalanced="0"/>
    <cacheHierarchy uniqueName="[Ecom].[Quantity]" caption="Quantity" attribute="1" defaultMemberUniqueName="[Ecom].[Quantity].[All]" allUniqueName="[Ecom].[Quantity].[All]" dimensionUniqueName="[Ecom]" displayFolder="" count="0" memberValueDatatype="20" unbalanced="0"/>
    <cacheHierarchy uniqueName="[Ecom].[Unit Price]" caption="Unit Price" attribute="1" defaultMemberUniqueName="[Ecom].[Unit Price].[All]" allUniqueName="[Ecom].[Unit Price].[All]" dimensionUniqueName="[Ecom]" displayFolder="" count="0" memberValueDatatype="20" unbalanced="0"/>
    <cacheHierarchy uniqueName="[Ecom].[Sales]" caption="Sales" attribute="1" defaultMemberUniqueName="[Ecom].[Sales].[All]" allUniqueName="[Ecom].[Sales].[All]" dimensionUniqueName="[Ecom]" displayFolder="" count="0" memberValueDatatype="20" unbalanced="0"/>
    <cacheHierarchy uniqueName="[Ecom].[Profit]" caption="Profit" attribute="1" defaultMemberUniqueName="[Ecom].[Profit].[All]" allUniqueName="[Ecom].[Profit].[All]" dimensionUniqueName="[Ecom]" displayFolder="" count="0" memberValueDatatype="5" unbalanced="0"/>
    <cacheHierarchy uniqueName="[Ecom].[Payment Mode]" caption="Payment Mode" attribute="1" defaultMemberUniqueName="[Ecom].[Payment Mode].[All]" allUniqueName="[Ecom].[Payment Mode].[All]" dimensionUniqueName="[Ecom]" displayFolder="" count="2" memberValueDatatype="130" unbalanced="0"/>
    <cacheHierarchy uniqueName="[Ecom].[Order Date (Year)]" caption="Order Date (Year)" attribute="1" defaultMemberUniqueName="[Ecom].[Order Date (Year)].[All]" allUniqueName="[Ecom].[Order Date (Year)].[All]" dimensionUniqueName="[Ecom]" displayFolder="" count="0" memberValueDatatype="130" unbalanced="0"/>
    <cacheHierarchy uniqueName="[Ecom].[Order Date (Quarter)]" caption="Order Date (Quarter)" attribute="1" defaultMemberUniqueName="[Ecom].[Order Date (Quarter)].[All]" allUniqueName="[Ecom].[Order Date (Quarter)].[All]" dimensionUniqueName="[Ecom]" displayFolder="" count="2" memberValueDatatype="130" unbalanced="0">
      <fieldsUsage count="2">
        <fieldUsage x="-1"/>
        <fieldUsage x="0"/>
      </fieldsUsage>
    </cacheHierarchy>
    <cacheHierarchy uniqueName="[Ecom].[Order Date (Month)]" caption="Order Date (Month)" attribute="1" defaultMemberUniqueName="[Ecom].[Order Date (Month)].[All]" allUniqueName="[Ecom].[Order Date (Month)].[All]" dimensionUniqueName="[Ecom]" displayFolder="" count="0" memberValueDatatype="130" unbalanced="0"/>
    <cacheHierarchy uniqueName="[Ecom].[Order Date (Month Index)]" caption="Order Date (Month Index)" attribute="1" defaultMemberUniqueName="[Ecom].[Order Date (Month Index)].[All]" allUniqueName="[Ecom].[Order Date (Month Index)].[All]" dimensionUniqueName="[Ecom]" displayFolder="" count="0" memberValueDatatype="20" unbalanced="0" hidden="1"/>
    <cacheHierarchy uniqueName="[Measures].[Total Sales]" caption="Total Sales" measure="1" displayFolder="" measureGroup="Ecom" count="0"/>
    <cacheHierarchy uniqueName="[Measures].[Total porfit]" caption="Total porfit" measure="1" displayFolder="" measureGroup="Ecom" count="0"/>
    <cacheHierarchy uniqueName="[Measures].[Total oders]" caption="Total oders" measure="1" displayFolder="" measureGroup="Ecom" count="0"/>
    <cacheHierarchy uniqueName="[Measures].[Avg oder value]" caption="Avg oder value" measure="1" displayFolder="" measureGroup="Ecom" count="0"/>
    <cacheHierarchy uniqueName="[Measures].[__XL_Count Ecom]" caption="__XL_Count Ecom" measure="1" displayFolder="" measureGroup="Ecom" count="0" hidden="1"/>
    <cacheHierarchy uniqueName="[Measures].[__No measures defined]" caption="__No measures defined" measure="1" displayFolder="" count="0" hidden="1"/>
    <cacheHierarchy uniqueName="[Measures].[Count of Customer]" caption="Count of Customer" measure="1" displayFolder="" measureGroup="Ecom"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Ecom"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Profit]" caption="Sum of Profit" measure="1" displayFolder="" measureGroup="Ecom"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Ecom"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Ecom"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Ecom" count="0" hidden="1">
      <extLst>
        <ext xmlns:x15="http://schemas.microsoft.com/office/spreadsheetml/2010/11/main" uri="{B97F6D7D-B522-45F9-BDA1-12C45D357490}">
          <x15:cacheHierarchy aggregatedColumn="7"/>
        </ext>
      </extLst>
    </cacheHierarchy>
  </cacheHierarchies>
  <kpis count="0"/>
  <dimensions count="2">
    <dimension name="Ecom" uniqueName="[Ecom]" caption="Ecom"/>
    <dimension measure="1" name="Measures" uniqueName="[Measures]" caption="Measures"/>
  </dimensions>
  <measureGroups count="1">
    <measureGroup name="Ecom" caption="Ecom"/>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A MICHAEL" refreshedDate="46285.498638657409" backgroundQuery="1" createdVersion="8" refreshedVersion="8" minRefreshableVersion="3" recordCount="0" supportSubquery="1" supportAdvancedDrill="1" xr:uid="{40912776-629D-4657-97D4-295001176657}">
  <cacheSource type="external" connectionId="2"/>
  <cacheFields count="3">
    <cacheField name="[Ecom].[City].[City]" caption="City" numFmtId="0" hierarchy="3" level="1">
      <sharedItems count="8">
        <s v="Chennai"/>
        <s v="Nellore" u="1"/>
        <s v="Hyderabad" u="1"/>
        <s v="Bengaluru" u="1"/>
        <s v="Kadapa" u="1"/>
        <s v="Chittoor" u="1"/>
        <s v="Tirupati" u="1"/>
        <s v="Vijayawada" u="1"/>
      </sharedItems>
    </cacheField>
    <cacheField name="[Measures].[Sum of Sales]" caption="Sum of Sales" numFmtId="0" hierarchy="22" level="32767"/>
    <cacheField name="[Ecom].[Category].[Category]" caption="Category" numFmtId="0" hierarchy="4" level="1">
      <sharedItems containsSemiMixedTypes="0" containsNonDate="0" containsString="0"/>
    </cacheField>
  </cacheFields>
  <cacheHierarchies count="27">
    <cacheHierarchy uniqueName="[Ecom].[Order ID]" caption="Order ID" attribute="1" defaultMemberUniqueName="[Ecom].[Order ID].[All]" allUniqueName="[Ecom].[Order ID].[All]" dimensionUniqueName="[Ecom]" displayFolder="" count="0" memberValueDatatype="130" unbalanced="0"/>
    <cacheHierarchy uniqueName="[Ecom].[Order Date]" caption="Order Date" attribute="1" time="1" defaultMemberUniqueName="[Ecom].[Order Date].[All]" allUniqueName="[Ecom].[Order Date].[All]" dimensionUniqueName="[Ecom]" displayFolder="" count="0" memberValueDatatype="7" unbalanced="0"/>
    <cacheHierarchy uniqueName="[Ecom].[Customer]" caption="Customer" attribute="1" defaultMemberUniqueName="[Ecom].[Customer].[All]" allUniqueName="[Ecom].[Customer].[All]" dimensionUniqueName="[Ecom]" displayFolder="" count="0" memberValueDatatype="130" unbalanced="0"/>
    <cacheHierarchy uniqueName="[Ecom].[City]" caption="City" attribute="1" defaultMemberUniqueName="[Ecom].[City].[All]" allUniqueName="[Ecom].[City].[All]" dimensionUniqueName="[Ecom]" displayFolder="" count="2" memberValueDatatype="130" unbalanced="0">
      <fieldsUsage count="2">
        <fieldUsage x="-1"/>
        <fieldUsage x="0"/>
      </fieldsUsage>
    </cacheHierarchy>
    <cacheHierarchy uniqueName="[Ecom].[Category]" caption="Category" attribute="1" defaultMemberUniqueName="[Ecom].[Category].[All]" allUniqueName="[Ecom].[Category].[All]" dimensionUniqueName="[Ecom]" displayFolder="" count="2" memberValueDatatype="130" unbalanced="0">
      <fieldsUsage count="2">
        <fieldUsage x="-1"/>
        <fieldUsage x="2"/>
      </fieldsUsage>
    </cacheHierarchy>
    <cacheHierarchy uniqueName="[Ecom].[Product]" caption="Product" attribute="1" defaultMemberUniqueName="[Ecom].[Product].[All]" allUniqueName="[Ecom].[Product].[All]" dimensionUniqueName="[Ecom]" displayFolder="" count="0" memberValueDatatype="130" unbalanced="0"/>
    <cacheHierarchy uniqueName="[Ecom].[Quantity]" caption="Quantity" attribute="1" defaultMemberUniqueName="[Ecom].[Quantity].[All]" allUniqueName="[Ecom].[Quantity].[All]" dimensionUniqueName="[Ecom]" displayFolder="" count="0" memberValueDatatype="20" unbalanced="0"/>
    <cacheHierarchy uniqueName="[Ecom].[Unit Price]" caption="Unit Price" attribute="1" defaultMemberUniqueName="[Ecom].[Unit Price].[All]" allUniqueName="[Ecom].[Unit Price].[All]" dimensionUniqueName="[Ecom]" displayFolder="" count="2" memberValueDatatype="20" unbalanced="0"/>
    <cacheHierarchy uniqueName="[Ecom].[Sales]" caption="Sales" attribute="1" defaultMemberUniqueName="[Ecom].[Sales].[All]" allUniqueName="[Ecom].[Sales].[All]" dimensionUniqueName="[Ecom]" displayFolder="" count="0" memberValueDatatype="20" unbalanced="0"/>
    <cacheHierarchy uniqueName="[Ecom].[Profit]" caption="Profit" attribute="1" defaultMemberUniqueName="[Ecom].[Profit].[All]" allUniqueName="[Ecom].[Profit].[All]" dimensionUniqueName="[Ecom]" displayFolder="" count="0" memberValueDatatype="5" unbalanced="0"/>
    <cacheHierarchy uniqueName="[Ecom].[Payment Mode]" caption="Payment Mode" attribute="1" defaultMemberUniqueName="[Ecom].[Payment Mode].[All]" allUniqueName="[Ecom].[Payment Mode].[All]" dimensionUniqueName="[Ecom]" displayFolder="" count="2" memberValueDatatype="130" unbalanced="0"/>
    <cacheHierarchy uniqueName="[Ecom].[Order Date (Year)]" caption="Order Date (Year)" attribute="1" defaultMemberUniqueName="[Ecom].[Order Date (Year)].[All]" allUniqueName="[Ecom].[Order Date (Year)].[All]" dimensionUniqueName="[Ecom]" displayFolder="" count="0" memberValueDatatype="130" unbalanced="0"/>
    <cacheHierarchy uniqueName="[Ecom].[Order Date (Quarter)]" caption="Order Date (Quarter)" attribute="1" defaultMemberUniqueName="[Ecom].[Order Date (Quarter)].[All]" allUniqueName="[Ecom].[Order Date (Quarter)].[All]" dimensionUniqueName="[Ecom]" displayFolder="" count="0" memberValueDatatype="130" unbalanced="0"/>
    <cacheHierarchy uniqueName="[Ecom].[Order Date (Month)]" caption="Order Date (Month)" attribute="1" defaultMemberUniqueName="[Ecom].[Order Date (Month)].[All]" allUniqueName="[Ecom].[Order Date (Month)].[All]" dimensionUniqueName="[Ecom]" displayFolder="" count="0" memberValueDatatype="130" unbalanced="0"/>
    <cacheHierarchy uniqueName="[Ecom].[Order Date (Month Index)]" caption="Order Date (Month Index)" attribute="1" defaultMemberUniqueName="[Ecom].[Order Date (Month Index)].[All]" allUniqueName="[Ecom].[Order Date (Month Index)].[All]" dimensionUniqueName="[Ecom]" displayFolder="" count="0" memberValueDatatype="20" unbalanced="0" hidden="1"/>
    <cacheHierarchy uniqueName="[Measures].[Total Sales]" caption="Total Sales" measure="1" displayFolder="" measureGroup="Ecom" count="0"/>
    <cacheHierarchy uniqueName="[Measures].[Total porfit]" caption="Total porfit" measure="1" displayFolder="" measureGroup="Ecom" count="0"/>
    <cacheHierarchy uniqueName="[Measures].[Total oders]" caption="Total oders" measure="1" displayFolder="" measureGroup="Ecom" count="0"/>
    <cacheHierarchy uniqueName="[Measures].[Avg oder value]" caption="Avg oder value" measure="1" displayFolder="" measureGroup="Ecom" count="0"/>
    <cacheHierarchy uniqueName="[Measures].[__XL_Count Ecom]" caption="__XL_Count Ecom" measure="1" displayFolder="" measureGroup="Ecom" count="0" hidden="1"/>
    <cacheHierarchy uniqueName="[Measures].[__No measures defined]" caption="__No measures defined" measure="1" displayFolder="" count="0" hidden="1"/>
    <cacheHierarchy uniqueName="[Measures].[Count of Customer]" caption="Count of Customer" measure="1" displayFolder="" measureGroup="Ecom"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Ecom"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Profit]" caption="Sum of Profit" measure="1" displayFolder="" measureGroup="Ecom"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Ecom"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Ecom"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Ecom" count="0" hidden="1">
      <extLst>
        <ext xmlns:x15="http://schemas.microsoft.com/office/spreadsheetml/2010/11/main" uri="{B97F6D7D-B522-45F9-BDA1-12C45D357490}">
          <x15:cacheHierarchy aggregatedColumn="7"/>
        </ext>
      </extLst>
    </cacheHierarchy>
  </cacheHierarchies>
  <kpis count="0"/>
  <dimensions count="2">
    <dimension name="Ecom" uniqueName="[Ecom]" caption="Ecom"/>
    <dimension measure="1" name="Measures" uniqueName="[Measures]" caption="Measures"/>
  </dimensions>
  <measureGroups count="1">
    <measureGroup name="Ecom" caption="Ecom"/>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A MICHAEL" refreshedDate="46285.498639120371" backgroundQuery="1" createdVersion="8" refreshedVersion="8" minRefreshableVersion="3" recordCount="0" supportSubquery="1" supportAdvancedDrill="1" xr:uid="{840ADD29-3B2B-46C8-8EE3-32D2EF3BFEBF}">
  <cacheSource type="external" connectionId="2"/>
  <cacheFields count="3">
    <cacheField name="[Ecom].[Category].[Category]" caption="Category" numFmtId="0" hierarchy="4" level="1">
      <sharedItems count="1">
        <s v="Furniture"/>
      </sharedItems>
    </cacheField>
    <cacheField name="[Measures].[Sum of Sales]" caption="Sum of Sales" numFmtId="0" hierarchy="22" level="32767"/>
    <cacheField name="[Ecom].[City].[City]" caption="City" numFmtId="0" hierarchy="3" level="1">
      <sharedItems containsSemiMixedTypes="0" containsNonDate="0" containsString="0"/>
    </cacheField>
  </cacheFields>
  <cacheHierarchies count="27">
    <cacheHierarchy uniqueName="[Ecom].[Order ID]" caption="Order ID" attribute="1" defaultMemberUniqueName="[Ecom].[Order ID].[All]" allUniqueName="[Ecom].[Order ID].[All]" dimensionUniqueName="[Ecom]" displayFolder="" count="0" memberValueDatatype="130" unbalanced="0"/>
    <cacheHierarchy uniqueName="[Ecom].[Order Date]" caption="Order Date" attribute="1" time="1" defaultMemberUniqueName="[Ecom].[Order Date].[All]" allUniqueName="[Ecom].[Order Date].[All]" dimensionUniqueName="[Ecom]" displayFolder="" count="0" memberValueDatatype="7" unbalanced="0"/>
    <cacheHierarchy uniqueName="[Ecom].[Customer]" caption="Customer" attribute="1" defaultMemberUniqueName="[Ecom].[Customer].[All]" allUniqueName="[Ecom].[Customer].[All]" dimensionUniqueName="[Ecom]" displayFolder="" count="0" memberValueDatatype="130" unbalanced="0"/>
    <cacheHierarchy uniqueName="[Ecom].[City]" caption="City" attribute="1" defaultMemberUniqueName="[Ecom].[City].[All]" allUniqueName="[Ecom].[City].[All]" dimensionUniqueName="[Ecom]" displayFolder="" count="2" memberValueDatatype="130" unbalanced="0">
      <fieldsUsage count="2">
        <fieldUsage x="-1"/>
        <fieldUsage x="2"/>
      </fieldsUsage>
    </cacheHierarchy>
    <cacheHierarchy uniqueName="[Ecom].[Category]" caption="Category" attribute="1" defaultMemberUniqueName="[Ecom].[Category].[All]" allUniqueName="[Ecom].[Category].[All]" dimensionUniqueName="[Ecom]" displayFolder="" count="2" memberValueDatatype="130" unbalanced="0">
      <fieldsUsage count="2">
        <fieldUsage x="-1"/>
        <fieldUsage x="0"/>
      </fieldsUsage>
    </cacheHierarchy>
    <cacheHierarchy uniqueName="[Ecom].[Product]" caption="Product" attribute="1" defaultMemberUniqueName="[Ecom].[Product].[All]" allUniqueName="[Ecom].[Product].[All]" dimensionUniqueName="[Ecom]" displayFolder="" count="0" memberValueDatatype="130" unbalanced="0"/>
    <cacheHierarchy uniqueName="[Ecom].[Quantity]" caption="Quantity" attribute="1" defaultMemberUniqueName="[Ecom].[Quantity].[All]" allUniqueName="[Ecom].[Quantity].[All]" dimensionUniqueName="[Ecom]" displayFolder="" count="0" memberValueDatatype="20" unbalanced="0"/>
    <cacheHierarchy uniqueName="[Ecom].[Unit Price]" caption="Unit Price" attribute="1" defaultMemberUniqueName="[Ecom].[Unit Price].[All]" allUniqueName="[Ecom].[Unit Price].[All]" dimensionUniqueName="[Ecom]" displayFolder="" count="2" memberValueDatatype="20" unbalanced="0"/>
    <cacheHierarchy uniqueName="[Ecom].[Sales]" caption="Sales" attribute="1" defaultMemberUniqueName="[Ecom].[Sales].[All]" allUniqueName="[Ecom].[Sales].[All]" dimensionUniqueName="[Ecom]" displayFolder="" count="0" memberValueDatatype="20" unbalanced="0"/>
    <cacheHierarchy uniqueName="[Ecom].[Profit]" caption="Profit" attribute="1" defaultMemberUniqueName="[Ecom].[Profit].[All]" allUniqueName="[Ecom].[Profit].[All]" dimensionUniqueName="[Ecom]" displayFolder="" count="0" memberValueDatatype="5" unbalanced="0"/>
    <cacheHierarchy uniqueName="[Ecom].[Payment Mode]" caption="Payment Mode" attribute="1" defaultMemberUniqueName="[Ecom].[Payment Mode].[All]" allUniqueName="[Ecom].[Payment Mode].[All]" dimensionUniqueName="[Ecom]" displayFolder="" count="2" memberValueDatatype="130" unbalanced="0"/>
    <cacheHierarchy uniqueName="[Ecom].[Order Date (Year)]" caption="Order Date (Year)" attribute="1" defaultMemberUniqueName="[Ecom].[Order Date (Year)].[All]" allUniqueName="[Ecom].[Order Date (Year)].[All]" dimensionUniqueName="[Ecom]" displayFolder="" count="0" memberValueDatatype="130" unbalanced="0"/>
    <cacheHierarchy uniqueName="[Ecom].[Order Date (Quarter)]" caption="Order Date (Quarter)" attribute="1" defaultMemberUniqueName="[Ecom].[Order Date (Quarter)].[All]" allUniqueName="[Ecom].[Order Date (Quarter)].[All]" dimensionUniqueName="[Ecom]" displayFolder="" count="0" memberValueDatatype="130" unbalanced="0"/>
    <cacheHierarchy uniqueName="[Ecom].[Order Date (Month)]" caption="Order Date (Month)" attribute="1" defaultMemberUniqueName="[Ecom].[Order Date (Month)].[All]" allUniqueName="[Ecom].[Order Date (Month)].[All]" dimensionUniqueName="[Ecom]" displayFolder="" count="0" memberValueDatatype="130" unbalanced="0"/>
    <cacheHierarchy uniqueName="[Ecom].[Order Date (Month Index)]" caption="Order Date (Month Index)" attribute="1" defaultMemberUniqueName="[Ecom].[Order Date (Month Index)].[All]" allUniqueName="[Ecom].[Order Date (Month Index)].[All]" dimensionUniqueName="[Ecom]" displayFolder="" count="0" memberValueDatatype="20" unbalanced="0" hidden="1"/>
    <cacheHierarchy uniqueName="[Measures].[Total Sales]" caption="Total Sales" measure="1" displayFolder="" measureGroup="Ecom" count="0"/>
    <cacheHierarchy uniqueName="[Measures].[Total porfit]" caption="Total porfit" measure="1" displayFolder="" measureGroup="Ecom" count="0"/>
    <cacheHierarchy uniqueName="[Measures].[Total oders]" caption="Total oders" measure="1" displayFolder="" measureGroup="Ecom" count="0"/>
    <cacheHierarchy uniqueName="[Measures].[Avg oder value]" caption="Avg oder value" measure="1" displayFolder="" measureGroup="Ecom" count="0"/>
    <cacheHierarchy uniqueName="[Measures].[__XL_Count Ecom]" caption="__XL_Count Ecom" measure="1" displayFolder="" measureGroup="Ecom" count="0" hidden="1"/>
    <cacheHierarchy uniqueName="[Measures].[__No measures defined]" caption="__No measures defined" measure="1" displayFolder="" count="0" hidden="1"/>
    <cacheHierarchy uniqueName="[Measures].[Count of Customer]" caption="Count of Customer" measure="1" displayFolder="" measureGroup="Ecom"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Ecom"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Profit]" caption="Sum of Profit" measure="1" displayFolder="" measureGroup="Ecom"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Ecom"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Ecom"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Ecom" count="0" hidden="1">
      <extLst>
        <ext xmlns:x15="http://schemas.microsoft.com/office/spreadsheetml/2010/11/main" uri="{B97F6D7D-B522-45F9-BDA1-12C45D357490}">
          <x15:cacheHierarchy aggregatedColumn="7"/>
        </ext>
      </extLst>
    </cacheHierarchy>
  </cacheHierarchies>
  <kpis count="0"/>
  <dimensions count="2">
    <dimension name="Ecom" uniqueName="[Ecom]" caption="Ecom"/>
    <dimension measure="1" name="Measures" uniqueName="[Measures]" caption="Measures"/>
  </dimensions>
  <measureGroups count="1">
    <measureGroup name="Ecom" caption="Ecom"/>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A MICHAEL" refreshedDate="46285.498639583333" backgroundQuery="1" createdVersion="8" refreshedVersion="8" minRefreshableVersion="3" recordCount="0" supportSubquery="1" supportAdvancedDrill="1" xr:uid="{E6F4F471-D658-4261-B6E2-60ACC37DFFCE}">
  <cacheSource type="external" connectionId="2"/>
  <cacheFields count="4">
    <cacheField name="[Ecom].[Payment Mode].[Payment Mode]" caption="Payment Mode" numFmtId="0" hierarchy="10" level="1">
      <sharedItems count="4">
        <s v="Cash"/>
        <s v="Debit Card"/>
        <s v="UPI" u="1"/>
        <s v="Credit Card" u="1"/>
      </sharedItems>
    </cacheField>
    <cacheField name="[Measures].[Sum of Sales]" caption="Sum of Sales" numFmtId="0" hierarchy="22" level="32767"/>
    <cacheField name="[Ecom].[City].[City]" caption="City" numFmtId="0" hierarchy="3" level="1">
      <sharedItems containsSemiMixedTypes="0" containsNonDate="0" containsString="0"/>
    </cacheField>
    <cacheField name="[Ecom].[Category].[Category]" caption="Category" numFmtId="0" hierarchy="4" level="1">
      <sharedItems containsSemiMixedTypes="0" containsNonDate="0" containsString="0"/>
    </cacheField>
  </cacheFields>
  <cacheHierarchies count="27">
    <cacheHierarchy uniqueName="[Ecom].[Order ID]" caption="Order ID" attribute="1" defaultMemberUniqueName="[Ecom].[Order ID].[All]" allUniqueName="[Ecom].[Order ID].[All]" dimensionUniqueName="[Ecom]" displayFolder="" count="0" memberValueDatatype="130" unbalanced="0"/>
    <cacheHierarchy uniqueName="[Ecom].[Order Date]" caption="Order Date" attribute="1" time="1" defaultMemberUniqueName="[Ecom].[Order Date].[All]" allUniqueName="[Ecom].[Order Date].[All]" dimensionUniqueName="[Ecom]" displayFolder="" count="0" memberValueDatatype="7" unbalanced="0"/>
    <cacheHierarchy uniqueName="[Ecom].[Customer]" caption="Customer" attribute="1" defaultMemberUniqueName="[Ecom].[Customer].[All]" allUniqueName="[Ecom].[Customer].[All]" dimensionUniqueName="[Ecom]" displayFolder="" count="0" memberValueDatatype="130" unbalanced="0"/>
    <cacheHierarchy uniqueName="[Ecom].[City]" caption="City" attribute="1" defaultMemberUniqueName="[Ecom].[City].[All]" allUniqueName="[Ecom].[City].[All]" dimensionUniqueName="[Ecom]" displayFolder="" count="2" memberValueDatatype="130" unbalanced="0">
      <fieldsUsage count="2">
        <fieldUsage x="-1"/>
        <fieldUsage x="2"/>
      </fieldsUsage>
    </cacheHierarchy>
    <cacheHierarchy uniqueName="[Ecom].[Category]" caption="Category" attribute="1" defaultMemberUniqueName="[Ecom].[Category].[All]" allUniqueName="[Ecom].[Category].[All]" dimensionUniqueName="[Ecom]" displayFolder="" count="2" memberValueDatatype="130" unbalanced="0">
      <fieldsUsage count="2">
        <fieldUsage x="-1"/>
        <fieldUsage x="3"/>
      </fieldsUsage>
    </cacheHierarchy>
    <cacheHierarchy uniqueName="[Ecom].[Product]" caption="Product" attribute="1" defaultMemberUniqueName="[Ecom].[Product].[All]" allUniqueName="[Ecom].[Product].[All]" dimensionUniqueName="[Ecom]" displayFolder="" count="0" memberValueDatatype="130" unbalanced="0"/>
    <cacheHierarchy uniqueName="[Ecom].[Quantity]" caption="Quantity" attribute="1" defaultMemberUniqueName="[Ecom].[Quantity].[All]" allUniqueName="[Ecom].[Quantity].[All]" dimensionUniqueName="[Ecom]" displayFolder="" count="0" memberValueDatatype="20" unbalanced="0"/>
    <cacheHierarchy uniqueName="[Ecom].[Unit Price]" caption="Unit Price" attribute="1" defaultMemberUniqueName="[Ecom].[Unit Price].[All]" allUniqueName="[Ecom].[Unit Price].[All]" dimensionUniqueName="[Ecom]" displayFolder="" count="2" memberValueDatatype="20" unbalanced="0"/>
    <cacheHierarchy uniqueName="[Ecom].[Sales]" caption="Sales" attribute="1" defaultMemberUniqueName="[Ecom].[Sales].[All]" allUniqueName="[Ecom].[Sales].[All]" dimensionUniqueName="[Ecom]" displayFolder="" count="0" memberValueDatatype="20" unbalanced="0"/>
    <cacheHierarchy uniqueName="[Ecom].[Profit]" caption="Profit" attribute="1" defaultMemberUniqueName="[Ecom].[Profit].[All]" allUniqueName="[Ecom].[Profit].[All]" dimensionUniqueName="[Ecom]" displayFolder="" count="0" memberValueDatatype="5" unbalanced="0"/>
    <cacheHierarchy uniqueName="[Ecom].[Payment Mode]" caption="Payment Mode" attribute="1" defaultMemberUniqueName="[Ecom].[Payment Mode].[All]" allUniqueName="[Ecom].[Payment Mode].[All]" dimensionUniqueName="[Ecom]" displayFolder="" count="2" memberValueDatatype="130" unbalanced="0">
      <fieldsUsage count="2">
        <fieldUsage x="-1"/>
        <fieldUsage x="0"/>
      </fieldsUsage>
    </cacheHierarchy>
    <cacheHierarchy uniqueName="[Ecom].[Order Date (Year)]" caption="Order Date (Year)" attribute="1" defaultMemberUniqueName="[Ecom].[Order Date (Year)].[All]" allUniqueName="[Ecom].[Order Date (Year)].[All]" dimensionUniqueName="[Ecom]" displayFolder="" count="0" memberValueDatatype="130" unbalanced="0"/>
    <cacheHierarchy uniqueName="[Ecom].[Order Date (Quarter)]" caption="Order Date (Quarter)" attribute="1" defaultMemberUniqueName="[Ecom].[Order Date (Quarter)].[All]" allUniqueName="[Ecom].[Order Date (Quarter)].[All]" dimensionUniqueName="[Ecom]" displayFolder="" count="0" memberValueDatatype="130" unbalanced="0"/>
    <cacheHierarchy uniqueName="[Ecom].[Order Date (Month)]" caption="Order Date (Month)" attribute="1" defaultMemberUniqueName="[Ecom].[Order Date (Month)].[All]" allUniqueName="[Ecom].[Order Date (Month)].[All]" dimensionUniqueName="[Ecom]" displayFolder="" count="0" memberValueDatatype="130" unbalanced="0"/>
    <cacheHierarchy uniqueName="[Ecom].[Order Date (Month Index)]" caption="Order Date (Month Index)" attribute="1" defaultMemberUniqueName="[Ecom].[Order Date (Month Index)].[All]" allUniqueName="[Ecom].[Order Date (Month Index)].[All]" dimensionUniqueName="[Ecom]" displayFolder="" count="0" memberValueDatatype="20" unbalanced="0" hidden="1"/>
    <cacheHierarchy uniqueName="[Measures].[Total Sales]" caption="Total Sales" measure="1" displayFolder="" measureGroup="Ecom" count="0"/>
    <cacheHierarchy uniqueName="[Measures].[Total porfit]" caption="Total porfit" measure="1" displayFolder="" measureGroup="Ecom" count="0"/>
    <cacheHierarchy uniqueName="[Measures].[Total oders]" caption="Total oders" measure="1" displayFolder="" measureGroup="Ecom" count="0"/>
    <cacheHierarchy uniqueName="[Measures].[Avg oder value]" caption="Avg oder value" measure="1" displayFolder="" measureGroup="Ecom" count="0"/>
    <cacheHierarchy uniqueName="[Measures].[__XL_Count Ecom]" caption="__XL_Count Ecom" measure="1" displayFolder="" measureGroup="Ecom" count="0" hidden="1"/>
    <cacheHierarchy uniqueName="[Measures].[__No measures defined]" caption="__No measures defined" measure="1" displayFolder="" count="0" hidden="1"/>
    <cacheHierarchy uniqueName="[Measures].[Count of Customer]" caption="Count of Customer" measure="1" displayFolder="" measureGroup="Ecom"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Ecom"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Profit]" caption="Sum of Profit" measure="1" displayFolder="" measureGroup="Ecom"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Ecom"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Ecom"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Ecom" count="0" hidden="1">
      <extLst>
        <ext xmlns:x15="http://schemas.microsoft.com/office/spreadsheetml/2010/11/main" uri="{B97F6D7D-B522-45F9-BDA1-12C45D357490}">
          <x15:cacheHierarchy aggregatedColumn="7"/>
        </ext>
      </extLst>
    </cacheHierarchy>
  </cacheHierarchies>
  <kpis count="0"/>
  <dimensions count="2">
    <dimension name="Ecom" uniqueName="[Ecom]" caption="Ecom"/>
    <dimension measure="1" name="Measures" uniqueName="[Measures]" caption="Measures"/>
  </dimensions>
  <measureGroups count="1">
    <measureGroup name="Ecom" caption="Ecom"/>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A MICHAEL" refreshedDate="46285.498640046295" backgroundQuery="1" createdVersion="8" refreshedVersion="8" minRefreshableVersion="3" recordCount="0" supportSubquery="1" supportAdvancedDrill="1" xr:uid="{3184AF71-0B77-4768-9C45-23457DF1A191}">
  <cacheSource type="external" connectionId="2"/>
  <cacheFields count="4">
    <cacheField name="[Measures].[Sum of Sales]" caption="Sum of Sales" numFmtId="0" hierarchy="22" level="32767"/>
    <cacheField name="[Ecom].[Product].[Product]" caption="Product" numFmtId="0" hierarchy="5" level="1">
      <sharedItems count="2">
        <s v="Chair"/>
        <s v="Office Desk"/>
      </sharedItems>
    </cacheField>
    <cacheField name="[Ecom].[City].[City]" caption="City" numFmtId="0" hierarchy="3" level="1">
      <sharedItems containsSemiMixedTypes="0" containsNonDate="0" containsString="0"/>
    </cacheField>
    <cacheField name="[Ecom].[Category].[Category]" caption="Category" numFmtId="0" hierarchy="4" level="1">
      <sharedItems containsSemiMixedTypes="0" containsNonDate="0" containsString="0"/>
    </cacheField>
  </cacheFields>
  <cacheHierarchies count="27">
    <cacheHierarchy uniqueName="[Ecom].[Order ID]" caption="Order ID" attribute="1" defaultMemberUniqueName="[Ecom].[Order ID].[All]" allUniqueName="[Ecom].[Order ID].[All]" dimensionUniqueName="[Ecom]" displayFolder="" count="0" memberValueDatatype="130" unbalanced="0"/>
    <cacheHierarchy uniqueName="[Ecom].[Order Date]" caption="Order Date" attribute="1" time="1" defaultMemberUniqueName="[Ecom].[Order Date].[All]" allUniqueName="[Ecom].[Order Date].[All]" dimensionUniqueName="[Ecom]" displayFolder="" count="0" memberValueDatatype="7" unbalanced="0"/>
    <cacheHierarchy uniqueName="[Ecom].[Customer]" caption="Customer" attribute="1" defaultMemberUniqueName="[Ecom].[Customer].[All]" allUniqueName="[Ecom].[Customer].[All]" dimensionUniqueName="[Ecom]" displayFolder="" count="0" memberValueDatatype="130" unbalanced="0"/>
    <cacheHierarchy uniqueName="[Ecom].[City]" caption="City" attribute="1" defaultMemberUniqueName="[Ecom].[City].[All]" allUniqueName="[Ecom].[City].[All]" dimensionUniqueName="[Ecom]" displayFolder="" count="2" memberValueDatatype="130" unbalanced="0">
      <fieldsUsage count="2">
        <fieldUsage x="-1"/>
        <fieldUsage x="2"/>
      </fieldsUsage>
    </cacheHierarchy>
    <cacheHierarchy uniqueName="[Ecom].[Category]" caption="Category" attribute="1" defaultMemberUniqueName="[Ecom].[Category].[All]" allUniqueName="[Ecom].[Category].[All]" dimensionUniqueName="[Ecom]" displayFolder="" count="2" memberValueDatatype="130" unbalanced="0">
      <fieldsUsage count="2">
        <fieldUsage x="-1"/>
        <fieldUsage x="3"/>
      </fieldsUsage>
    </cacheHierarchy>
    <cacheHierarchy uniqueName="[Ecom].[Product]" caption="Product" attribute="1" defaultMemberUniqueName="[Ecom].[Product].[All]" allUniqueName="[Ecom].[Product].[All]" dimensionUniqueName="[Ecom]" displayFolder="" count="2" memberValueDatatype="130" unbalanced="0">
      <fieldsUsage count="2">
        <fieldUsage x="-1"/>
        <fieldUsage x="1"/>
      </fieldsUsage>
    </cacheHierarchy>
    <cacheHierarchy uniqueName="[Ecom].[Quantity]" caption="Quantity" attribute="1" defaultMemberUniqueName="[Ecom].[Quantity].[All]" allUniqueName="[Ecom].[Quantity].[All]" dimensionUniqueName="[Ecom]" displayFolder="" count="0" memberValueDatatype="20" unbalanced="0"/>
    <cacheHierarchy uniqueName="[Ecom].[Unit Price]" caption="Unit Price" attribute="1" defaultMemberUniqueName="[Ecom].[Unit Price].[All]" allUniqueName="[Ecom].[Unit Price].[All]" dimensionUniqueName="[Ecom]" displayFolder="" count="2" memberValueDatatype="20" unbalanced="0"/>
    <cacheHierarchy uniqueName="[Ecom].[Sales]" caption="Sales" attribute="1" defaultMemberUniqueName="[Ecom].[Sales].[All]" allUniqueName="[Ecom].[Sales].[All]" dimensionUniqueName="[Ecom]" displayFolder="" count="0" memberValueDatatype="20" unbalanced="0"/>
    <cacheHierarchy uniqueName="[Ecom].[Profit]" caption="Profit" attribute="1" defaultMemberUniqueName="[Ecom].[Profit].[All]" allUniqueName="[Ecom].[Profit].[All]" dimensionUniqueName="[Ecom]" displayFolder="" count="0" memberValueDatatype="5" unbalanced="0"/>
    <cacheHierarchy uniqueName="[Ecom].[Payment Mode]" caption="Payment Mode" attribute="1" defaultMemberUniqueName="[Ecom].[Payment Mode].[All]" allUniqueName="[Ecom].[Payment Mode].[All]" dimensionUniqueName="[Ecom]" displayFolder="" count="2" memberValueDatatype="130" unbalanced="0"/>
    <cacheHierarchy uniqueName="[Ecom].[Order Date (Year)]" caption="Order Date (Year)" attribute="1" defaultMemberUniqueName="[Ecom].[Order Date (Year)].[All]" allUniqueName="[Ecom].[Order Date (Year)].[All]" dimensionUniqueName="[Ecom]" displayFolder="" count="0" memberValueDatatype="130" unbalanced="0"/>
    <cacheHierarchy uniqueName="[Ecom].[Order Date (Quarter)]" caption="Order Date (Quarter)" attribute="1" defaultMemberUniqueName="[Ecom].[Order Date (Quarter)].[All]" allUniqueName="[Ecom].[Order Date (Quarter)].[All]" dimensionUniqueName="[Ecom]" displayFolder="" count="0" memberValueDatatype="130" unbalanced="0"/>
    <cacheHierarchy uniqueName="[Ecom].[Order Date (Month)]" caption="Order Date (Month)" attribute="1" defaultMemberUniqueName="[Ecom].[Order Date (Month)].[All]" allUniqueName="[Ecom].[Order Date (Month)].[All]" dimensionUniqueName="[Ecom]" displayFolder="" count="0" memberValueDatatype="130" unbalanced="0"/>
    <cacheHierarchy uniqueName="[Ecom].[Order Date (Month Index)]" caption="Order Date (Month Index)" attribute="1" defaultMemberUniqueName="[Ecom].[Order Date (Month Index)].[All]" allUniqueName="[Ecom].[Order Date (Month Index)].[All]" dimensionUniqueName="[Ecom]" displayFolder="" count="0" memberValueDatatype="20" unbalanced="0" hidden="1"/>
    <cacheHierarchy uniqueName="[Measures].[Total Sales]" caption="Total Sales" measure="1" displayFolder="" measureGroup="Ecom" count="0"/>
    <cacheHierarchy uniqueName="[Measures].[Total porfit]" caption="Total porfit" measure="1" displayFolder="" measureGroup="Ecom" count="0"/>
    <cacheHierarchy uniqueName="[Measures].[Total oders]" caption="Total oders" measure="1" displayFolder="" measureGroup="Ecom" count="0"/>
    <cacheHierarchy uniqueName="[Measures].[Avg oder value]" caption="Avg oder value" measure="1" displayFolder="" measureGroup="Ecom" count="0"/>
    <cacheHierarchy uniqueName="[Measures].[__XL_Count Ecom]" caption="__XL_Count Ecom" measure="1" displayFolder="" measureGroup="Ecom" count="0" hidden="1"/>
    <cacheHierarchy uniqueName="[Measures].[__No measures defined]" caption="__No measures defined" measure="1" displayFolder="" count="0" hidden="1"/>
    <cacheHierarchy uniqueName="[Measures].[Count of Customer]" caption="Count of Customer" measure="1" displayFolder="" measureGroup="Ecom"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Ecom"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Profit]" caption="Sum of Profit" measure="1" displayFolder="" measureGroup="Ecom"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Ecom"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Ecom"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Ecom" count="0" hidden="1">
      <extLst>
        <ext xmlns:x15="http://schemas.microsoft.com/office/spreadsheetml/2010/11/main" uri="{B97F6D7D-B522-45F9-BDA1-12C45D357490}">
          <x15:cacheHierarchy aggregatedColumn="7"/>
        </ext>
      </extLst>
    </cacheHierarchy>
  </cacheHierarchies>
  <kpis count="0"/>
  <dimensions count="2">
    <dimension name="Ecom" uniqueName="[Ecom]" caption="Ecom"/>
    <dimension measure="1" name="Measures" uniqueName="[Measures]" caption="Measures"/>
  </dimensions>
  <measureGroups count="1">
    <measureGroup name="Ecom" caption="Ecom"/>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RA MICHAEL" refreshedDate="46284.97652650463" backgroundQuery="1" createdVersion="3" refreshedVersion="8" minRefreshableVersion="3" recordCount="0" supportSubquery="1" supportAdvancedDrill="1" xr:uid="{932926CF-8D33-4481-8B7F-AF2E16B5DCAB}">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Ecom].[Order ID]" caption="Order ID" attribute="1" defaultMemberUniqueName="[Ecom].[Order ID].[All]" allUniqueName="[Ecom].[Order ID].[All]" dimensionUniqueName="[Ecom]" displayFolder="" count="0" memberValueDatatype="130" unbalanced="0"/>
    <cacheHierarchy uniqueName="[Ecom].[Order Date]" caption="Order Date" attribute="1" time="1" defaultMemberUniqueName="[Ecom].[Order Date].[All]" allUniqueName="[Ecom].[Order Date].[All]" dimensionUniqueName="[Ecom]" displayFolder="" count="0" memberValueDatatype="7" unbalanced="0"/>
    <cacheHierarchy uniqueName="[Ecom].[Customer]" caption="Customer" attribute="1" defaultMemberUniqueName="[Ecom].[Customer].[All]" allUniqueName="[Ecom].[Customer].[All]" dimensionUniqueName="[Ecom]" displayFolder="" count="0" memberValueDatatype="130" unbalanced="0"/>
    <cacheHierarchy uniqueName="[Ecom].[City]" caption="City" attribute="1" defaultMemberUniqueName="[Ecom].[City].[All]" allUniqueName="[Ecom].[City].[All]" dimensionUniqueName="[Ecom]" displayFolder="" count="2" memberValueDatatype="130" unbalanced="0"/>
    <cacheHierarchy uniqueName="[Ecom].[Category]" caption="Category" attribute="1" defaultMemberUniqueName="[Ecom].[Category].[All]" allUniqueName="[Ecom].[Category].[All]" dimensionUniqueName="[Ecom]" displayFolder="" count="2" memberValueDatatype="130" unbalanced="0"/>
    <cacheHierarchy uniqueName="[Ecom].[Product]" caption="Product" attribute="1" defaultMemberUniqueName="[Ecom].[Product].[All]" allUniqueName="[Ecom].[Product].[All]" dimensionUniqueName="[Ecom]" displayFolder="" count="0" memberValueDatatype="130" unbalanced="0"/>
    <cacheHierarchy uniqueName="[Ecom].[Quantity]" caption="Quantity" attribute="1" defaultMemberUniqueName="[Ecom].[Quantity].[All]" allUniqueName="[Ecom].[Quantity].[All]" dimensionUniqueName="[Ecom]" displayFolder="" count="0" memberValueDatatype="20" unbalanced="0"/>
    <cacheHierarchy uniqueName="[Ecom].[Unit Price]" caption="Unit Price" attribute="1" defaultMemberUniqueName="[Ecom].[Unit Price].[All]" allUniqueName="[Ecom].[Unit Price].[All]" dimensionUniqueName="[Ecom]" displayFolder="" count="0" memberValueDatatype="20" unbalanced="0"/>
    <cacheHierarchy uniqueName="[Ecom].[Sales]" caption="Sales" attribute="1" defaultMemberUniqueName="[Ecom].[Sales].[All]" allUniqueName="[Ecom].[Sales].[All]" dimensionUniqueName="[Ecom]" displayFolder="" count="0" memberValueDatatype="20" unbalanced="0"/>
    <cacheHierarchy uniqueName="[Ecom].[Profit]" caption="Profit" attribute="1" defaultMemberUniqueName="[Ecom].[Profit].[All]" allUniqueName="[Ecom].[Profit].[All]" dimensionUniqueName="[Ecom]" displayFolder="" count="0" memberValueDatatype="5" unbalanced="0"/>
    <cacheHierarchy uniqueName="[Ecom].[Payment Mode]" caption="Payment Mode" attribute="1" defaultMemberUniqueName="[Ecom].[Payment Mode].[All]" allUniqueName="[Ecom].[Payment Mode].[All]" dimensionUniqueName="[Ecom]" displayFolder="" count="2" memberValueDatatype="130" unbalanced="0"/>
    <cacheHierarchy uniqueName="[Ecom].[Order Date (Year)]" caption="Order Date (Year)" attribute="1" defaultMemberUniqueName="[Ecom].[Order Date (Year)].[All]" allUniqueName="[Ecom].[Order Date (Year)].[All]" dimensionUniqueName="[Ecom]" displayFolder="" count="0" memberValueDatatype="130" unbalanced="0"/>
    <cacheHierarchy uniqueName="[Ecom].[Order Date (Quarter)]" caption="Order Date (Quarter)" attribute="1" defaultMemberUniqueName="[Ecom].[Order Date (Quarter)].[All]" allUniqueName="[Ecom].[Order Date (Quarter)].[All]" dimensionUniqueName="[Ecom]" displayFolder="" count="0" memberValueDatatype="130" unbalanced="0"/>
    <cacheHierarchy uniqueName="[Ecom].[Order Date (Month)]" caption="Order Date (Month)" attribute="1" defaultMemberUniqueName="[Ecom].[Order Date (Month)].[All]" allUniqueName="[Ecom].[Order Date (Month)].[All]" dimensionUniqueName="[Ecom]" displayFolder="" count="0" memberValueDatatype="130" unbalanced="0"/>
    <cacheHierarchy uniqueName="[Ecom].[Order Date (Month Index)]" caption="Order Date (Month Index)" attribute="1" defaultMemberUniqueName="[Ecom].[Order Date (Month Index)].[All]" allUniqueName="[Ecom].[Order Date (Month Index)].[All]" dimensionUniqueName="[Ecom]" displayFolder="" count="0" memberValueDatatype="20" unbalanced="0" hidden="1"/>
    <cacheHierarchy uniqueName="[Measures].[Total Sales]" caption="Total Sales" measure="1" displayFolder="" measureGroup="Ecom" count="0"/>
    <cacheHierarchy uniqueName="[Measures].[Total porfit]" caption="Total porfit" measure="1" displayFolder="" measureGroup="Ecom" count="0"/>
    <cacheHierarchy uniqueName="[Measures].[Total oders]" caption="Total oders" measure="1" displayFolder="" measureGroup="Ecom" count="0"/>
    <cacheHierarchy uniqueName="[Measures].[Avg oder value]" caption="Avg oder value" measure="1" displayFolder="" measureGroup="Ecom" count="0"/>
    <cacheHierarchy uniqueName="[Measures].[__XL_Count Ecom]" caption="__XL_Count Ecom" measure="1" displayFolder="" measureGroup="Ecom" count="0" hidden="1"/>
    <cacheHierarchy uniqueName="[Measures].[__No measures defined]" caption="__No measures defined" measure="1" displayFolder="" count="0" hidden="1"/>
    <cacheHierarchy uniqueName="[Measures].[Count of Customer]" caption="Count of Customer" measure="1" displayFolder="" measureGroup="Ecom"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Ecom"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Ecom" count="0" hidden="1">
      <extLst>
        <ext xmlns:x15="http://schemas.microsoft.com/office/spreadsheetml/2010/11/main" uri="{B97F6D7D-B522-45F9-BDA1-12C45D357490}">
          <x15:cacheHierarchy aggregatedColumn="9"/>
        </ext>
      </extLst>
    </cacheHierarchy>
    <cacheHierarchy uniqueName="[Measures].[Count of Product]" caption="Count of Product" measure="1" displayFolder="" measureGroup="Ecom"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Ecom"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Ecom"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3702932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63E471-B472-4392-9BDF-C988F1785844}" name="PivotTable7" cacheId="328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2">
  <location ref="A41:B43"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Sales" fld="1" baseField="0" baseItem="0"/>
  </dataFields>
  <formats count="1">
    <format dxfId="45">
      <pivotArea outline="0" collapsedLevelsAreSubtotals="1" fieldPosition="0"/>
    </format>
  </formats>
  <chartFormats count="1">
    <chartFormat chart="30"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Ecom].[City].&amp;[Chennai]"/>
      </members>
    </pivotHierarchy>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835DE1-9780-4BA4-9B88-52238936B464}" name="PivotTable1" cacheId="314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name="Count of Product" fld="4" subtotal="count" baseField="0" baseItem="0" numFmtId="4"/>
    <dataField name="Sold Qunatity" fld="2" baseField="0" baseItem="0" numFmtId="4"/>
    <dataField fld="3" subtotal="count" baseField="0" baseItem="0"/>
  </dataFields>
  <formats count="3">
    <format dxfId="48">
      <pivotArea outline="0" collapsedLevelsAreSubtotals="1" fieldPosition="0"/>
    </format>
    <format dxfId="47">
      <pivotArea outline="0" collapsedLevelsAreSubtotals="1" fieldPosition="0">
        <references count="1">
          <reference field="4294967294" count="1" selected="0">
            <x v="3"/>
          </reference>
        </references>
      </pivotArea>
    </format>
    <format dxfId="46">
      <pivotArea outline="0" collapsedLevelsAreSubtotals="1" fieldPosition="0">
        <references count="1">
          <reference field="4294967294" count="1" selected="0">
            <x v="2"/>
          </reference>
        </references>
      </pivotArea>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products"/>
    <pivotHierarchy dragToData="1" caption="Sold Qunatity"/>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2_Ecommerce_Sales (2).xlsx!Ecom">
        <x15:activeTabTopLevelEntity name="[Eco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22B5C7-C627-47EF-9823-C3A51C5772FF}" name="PivotTable6" cacheId="327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A30:B32" firstHeaderRow="1" firstDataRow="1" firstDataCol="1"/>
  <pivotFields count="3">
    <pivotField axis="axisRow" allDrilled="1" subtotalTop="0" showAll="0" dataSourceSort="1" defaultSubtotal="0" defaultAttributeDrillState="1">
      <items count="8">
        <item s="1"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Sales" fld="1" baseField="0" baseItem="0" numFmtId="8"/>
  </dataFields>
  <formats count="1">
    <format dxfId="49">
      <pivotArea outline="0" collapsedLevelsAreSubtotals="1" fieldPosition="0"/>
    </format>
  </formats>
  <chartFormats count="9">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0" count="1" selected="0">
            <x v="3"/>
          </reference>
        </references>
      </pivotArea>
    </chartFormat>
    <chartFormat chart="17" format="12">
      <pivotArea type="data" outline="0" fieldPosition="0">
        <references count="2">
          <reference field="4294967294" count="1" selected="0">
            <x v="0"/>
          </reference>
          <reference field="0" count="1" selected="0">
            <x v="0"/>
          </reference>
        </references>
      </pivotArea>
    </chartFormat>
    <chartFormat chart="17" format="13">
      <pivotArea type="data" outline="0" fieldPosition="0">
        <references count="2">
          <reference field="4294967294" count="1" selected="0">
            <x v="0"/>
          </reference>
          <reference field="0" count="1" selected="0">
            <x v="5"/>
          </reference>
        </references>
      </pivotArea>
    </chartFormat>
    <chartFormat chart="17" format="14">
      <pivotArea type="data" outline="0" fieldPosition="0">
        <references count="2">
          <reference field="4294967294" count="1" selected="0">
            <x v="0"/>
          </reference>
          <reference field="0" count="1" selected="0">
            <x v="2"/>
          </reference>
        </references>
      </pivotArea>
    </chartFormat>
    <chartFormat chart="17" format="15">
      <pivotArea type="data" outline="0" fieldPosition="0">
        <references count="2">
          <reference field="4294967294" count="1" selected="0">
            <x v="0"/>
          </reference>
          <reference field="0" count="1" selected="0">
            <x v="4"/>
          </reference>
        </references>
      </pivotArea>
    </chartFormat>
    <chartFormat chart="17" format="16">
      <pivotArea type="data" outline="0" fieldPosition="0">
        <references count="2">
          <reference field="4294967294" count="1" selected="0">
            <x v="0"/>
          </reference>
          <reference field="0" count="1" selected="0">
            <x v="1"/>
          </reference>
        </references>
      </pivotArea>
    </chartFormat>
    <chartFormat chart="17" format="17">
      <pivotArea type="data" outline="0" fieldPosition="0">
        <references count="2">
          <reference field="4294967294" count="1" selected="0">
            <x v="0"/>
          </reference>
          <reference field="0" count="1" selected="0">
            <x v="6"/>
          </reference>
        </references>
      </pivotArea>
    </chartFormat>
    <chartFormat chart="17" format="18">
      <pivotArea type="data" outline="0" fieldPosition="0">
        <references count="2">
          <reference field="4294967294" count="1" selected="0">
            <x v="0"/>
          </reference>
          <reference field="0" count="1" selected="0">
            <x v="7"/>
          </reference>
        </references>
      </pivotArea>
    </chartFormat>
  </chartFormats>
  <pivotHierarchies count="27">
    <pivotHierarchy dragToData="1"/>
    <pivotHierarchy dragToData="1"/>
    <pivotHierarchy dragToData="1"/>
    <pivotHierarchy multipleItemSelectionAllowed="1" dragToData="1"/>
    <pivotHierarchy multipleItemSelectionAllowed="1" dragToData="1">
      <members count="1" level="1">
        <member name="[Ecom].[Category].&amp;[Furniture]"/>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BFC7B9-CF0C-438D-8496-5390FD1CD349}" name="PivotTable5" cacheId="327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25:B27"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Sum of Sales" fld="1" baseField="0" baseItem="0"/>
  </dataFields>
  <formats count="1">
    <format dxfId="50">
      <pivotArea collapsedLevelsAreSubtotals="1" fieldPosition="0">
        <references count="1">
          <reference field="0" count="0"/>
        </references>
      </pivotArea>
    </format>
  </formats>
  <chartFormats count="3">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0" count="1" selected="0">
            <x v="1"/>
          </reference>
        </references>
      </pivotArea>
    </chartFormat>
    <chartFormat chart="5" format="4">
      <pivotArea type="data" outline="0" fieldPosition="0">
        <references count="2">
          <reference field="4294967294" count="1" selected="0">
            <x v="0"/>
          </reference>
          <reference field="0" count="1" selected="0">
            <x v="0"/>
          </reference>
        </references>
      </pivotArea>
    </chartFormat>
  </chartFormats>
  <pivotHierarchies count="27">
    <pivotHierarchy dragToData="1"/>
    <pivotHierarchy dragToData="1"/>
    <pivotHierarchy dragToData="1"/>
    <pivotHierarchy multipleItemSelectionAllowed="1" dragToData="1">
      <members count="1" level="1">
        <member name="[Ecom].[City].&amp;[Chennai]"/>
      </members>
    </pivotHierarchy>
    <pivotHierarchy multipleItemSelectionAllowed="1" dragToData="1">
      <members count="1" level="1">
        <member name="[Ecom].[Category].&amp;[Furniture]"/>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77FFB1-EA52-46D3-AC7F-A8497AED38CC}" name="PivotTable10" cacheId="32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46:E63" firstHeaderRow="1" firstDataRow="1"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27">
    <pivotHierarchy dragToData="1"/>
    <pivotHierarchy dragToData="1"/>
    <pivotHierarchy dragToData="1"/>
    <pivotHierarchy multipleItemSelectionAllowed="1" dragToData="1">
      <members count="1" level="1">
        <member name="[Ecom].[City].&amp;[Chennai]"/>
      </members>
    </pivotHierarchy>
    <pivotHierarchy multipleItemSelectionAllowed="1" dragToData="1">
      <members count="1" level="1">
        <member name="[Ecom].[Category].&amp;[Furniture]"/>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4C8E05-5D19-4BA5-BCF5-DC363A15CBD0}" name="PivotTable9" cacheId="328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4">
  <location ref="A56:B59" firstHeaderRow="1" firstDataRow="1" firstDataCol="1"/>
  <pivotFields count="4">
    <pivotField dataField="1" subtotalTop="0" showAll="0" defaultSubtotal="0"/>
    <pivotField axis="axisRow" allDrilled="1" subtotalTop="0" showAll="0" measureFilter="1"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v="1"/>
    </i>
    <i>
      <x/>
    </i>
    <i t="grand">
      <x/>
    </i>
  </rowItems>
  <colItems count="1">
    <i/>
  </colItems>
  <dataFields count="1">
    <dataField name="Sum of Sales" fld="0" baseField="0" baseItem="0"/>
  </dataFields>
  <formats count="1">
    <format dxfId="51">
      <pivotArea outline="0" collapsedLevelsAreSubtotals="1" fieldPosition="0"/>
    </format>
  </formats>
  <chartFormats count="3">
    <chartFormat chart="34" format="0" series="1">
      <pivotArea type="data" outline="0" fieldPosition="0">
        <references count="1">
          <reference field="4294967294" count="1" selected="0">
            <x v="0"/>
          </reference>
        </references>
      </pivotArea>
    </chartFormat>
    <chartFormat chart="38" format="1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Ecom].[City].&amp;[Chennai]"/>
      </members>
    </pivotHierarchy>
    <pivotHierarchy multipleItemSelectionAllowed="1" dragToData="1">
      <members count="1" level="1">
        <member name="[Ecom].[Category].&amp;[Furniture]"/>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2">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6A902D-8AC8-4C8D-96F1-17A6D7C872B4}" name="PivotTable4" cacheId="3272"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34">
  <location ref="A20:B22"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2">
    <i>
      <x/>
    </i>
    <i>
      <x v="1"/>
    </i>
  </rowItems>
  <colItems count="1">
    <i/>
  </colItems>
  <dataFields count="1">
    <dataField name="Sum of Sales" fld="0" baseField="0" baseItem="0"/>
  </dataFields>
  <formats count="1">
    <format dxfId="52">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multipleItemSelectionAllowed="1" dragToData="1">
      <members count="1" level="1">
        <member name="[Ecom].[Category].&amp;[Furniture]"/>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products"/>
    <pivotHierarchy dragToData="1" caption="Sold Qunatity"/>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2_Ecommerce_Sales (2).xlsx!Ecom">
        <x15:activeTabTopLevelEntity name="[Eco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2CE213-4116-4302-8602-62A642A86666}" name="PivotTable8" cacheId="328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9">
  <location ref="A48:B51"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Sales" fld="1" baseField="0" baseItem="0"/>
  </dataFields>
  <formats count="1">
    <format dxfId="53">
      <pivotArea outline="0" collapsedLevelsAreSubtotals="1" fieldPosition="0"/>
    </format>
  </formats>
  <chartFormats count="5">
    <chartFormat chart="38" format="10" series="1">
      <pivotArea type="data" outline="0" fieldPosition="0">
        <references count="1">
          <reference field="4294967294" count="1" selected="0">
            <x v="0"/>
          </reference>
        </references>
      </pivotArea>
    </chartFormat>
    <chartFormat chart="38" format="11">
      <pivotArea type="data" outline="0" fieldPosition="0">
        <references count="2">
          <reference field="4294967294" count="1" selected="0">
            <x v="0"/>
          </reference>
          <reference field="0" count="1" selected="0">
            <x v="0"/>
          </reference>
        </references>
      </pivotArea>
    </chartFormat>
    <chartFormat chart="38" format="12">
      <pivotArea type="data" outline="0" fieldPosition="0">
        <references count="2">
          <reference field="4294967294" count="1" selected="0">
            <x v="0"/>
          </reference>
          <reference field="0" count="1" selected="0">
            <x v="3"/>
          </reference>
        </references>
      </pivotArea>
    </chartFormat>
    <chartFormat chart="38" format="13">
      <pivotArea type="data" outline="0" fieldPosition="0">
        <references count="2">
          <reference field="4294967294" count="1" selected="0">
            <x v="0"/>
          </reference>
          <reference field="0" count="1" selected="0">
            <x v="1"/>
          </reference>
        </references>
      </pivotArea>
    </chartFormat>
    <chartFormat chart="38" format="14">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dragToData="1"/>
    <pivotHierarchy dragToData="1"/>
    <pivotHierarchy multipleItemSelectionAllowed="1" dragToData="1">
      <members count="1" level="1">
        <member name="[Ecom].[City].&amp;[Chennai]"/>
      </members>
    </pivotHierarchy>
    <pivotHierarchy multipleItemSelectionAllowed="1" dragToData="1">
      <members count="1" level="1">
        <member name="[Ecom].[Category].&amp;[Furniture]"/>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00E104-C60D-420D-9DD8-8C063F101215}" name="PivotTable3" cacheId="32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4">
  <location ref="A15:B17" firstHeaderRow="1" firstDataRow="1" firstDataCol="1"/>
  <pivotFields count="4">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Sum of Sales" fld="0" baseField="0" baseItem="0"/>
  </dataFields>
  <formats count="1">
    <format dxfId="54">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Ecom].[City].&amp;[Chennai]"/>
      </members>
    </pivotHierarchy>
    <pivotHierarchy multipleItemSelectionAllowed="1" dragToData="1">
      <members count="1" level="1">
        <member name="[Ecom].[Category].&amp;[Furniture]"/>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products"/>
    <pivotHierarchy dragToData="1" caption="Sold Qunatity"/>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2_Ecommerce_Sales (2).xlsx!Ecom">
        <x15:activeTabTopLevelEntity name="[Eco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A6E865D-FAB5-4327-A05D-A7AF956E05FB}" name="PivotTable2" cacheId="326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7:C10" firstHeaderRow="0"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Sum of Sales" fld="0" baseField="0" baseItem="0"/>
    <dataField name="Sum of Sales2" fld="4" baseField="0" baseItem="0">
      <extLst>
        <ext xmlns:x14="http://schemas.microsoft.com/office/spreadsheetml/2009/9/main" uri="{E15A36E0-9728-4e99-A89B-3F7291B0FE68}">
          <x14:dataField sourceField="0" uniqueName="[__Xl2].[Measures].[Sum of Sales]"/>
        </ext>
      </extLst>
    </dataField>
  </dataFields>
  <formats count="1">
    <format dxfId="55">
      <pivotArea outline="0" collapsedLevelsAreSubtotals="1" fieldPosition="0"/>
    </format>
  </formats>
  <chartFormats count="2">
    <chartFormat chart="7" format="6" series="1">
      <pivotArea type="data" outline="0" fieldPosition="0">
        <references count="1">
          <reference field="4294967294" count="1" selected="0">
            <x v="1"/>
          </reference>
        </references>
      </pivotArea>
    </chartFormat>
    <chartFormat chart="7" format="7"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Ecom].[City].&amp;[Chennai]"/>
      </members>
    </pivotHierarchy>
    <pivotHierarchy multipleItemSelectionAllowed="1" dragToData="1">
      <members count="1" level="1">
        <member name="[Ecom].[Category].&amp;[Furniture]"/>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products"/>
    <pivotHierarchy dragToData="1" caption="Sold Qunatity"/>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2_Ecommerce_Sales (2).xlsx!Ecom">
        <x15:activeTabTopLevelEntity name="[Ecom]"/>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7EC6772-A54F-4FE5-8C7A-FF8C153194E3}" autoFormatId="16" applyNumberFormats="0" applyBorderFormats="0" applyFontFormats="0" applyPatternFormats="0" applyAlignmentFormats="0" applyWidthHeightFormats="0">
  <queryTableRefresh nextId="16">
    <queryTableFields count="15">
      <queryTableField id="1" name="Ecom[Order ID]" tableColumnId="1"/>
      <queryTableField id="2" name="Ecom[Order Date]" tableColumnId="2"/>
      <queryTableField id="3" name="Ecom[Customer]" tableColumnId="3"/>
      <queryTableField id="4" name="Ecom[City]" tableColumnId="4"/>
      <queryTableField id="5" name="Ecom[Category]" tableColumnId="5"/>
      <queryTableField id="6" name="Ecom[Product]" tableColumnId="6"/>
      <queryTableField id="7" name="Ecom[Quantity]" tableColumnId="7"/>
      <queryTableField id="8" name="Ecom[Unit Price]" tableColumnId="8"/>
      <queryTableField id="9" name="Ecom[Sales]" tableColumnId="9"/>
      <queryTableField id="10" name="Ecom[Profit]" tableColumnId="10"/>
      <queryTableField id="11" name="Ecom[Payment Mode]" tableColumnId="11"/>
      <queryTableField id="12" name="Ecom[Order Date (Year)]" tableColumnId="12"/>
      <queryTableField id="13" name="Ecom[Order Date (Quarter)]" tableColumnId="13"/>
      <queryTableField id="14" name="Ecom[Order Date (Month)]" tableColumnId="14"/>
      <queryTableField id="15" name="Ecom[Order Date (Month Index)]" tableColumnId="15"/>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3BC195A-A631-4B81-B10B-2C1BDFDF2D11}" sourceName="[Ecom].[City]">
  <pivotTables>
    <pivotTable tabId="3" name="PivotTable10"/>
    <pivotTable tabId="3" name="PivotTable2"/>
    <pivotTable tabId="3" name="PivotTable3"/>
    <pivotTable tabId="3" name="PivotTable5"/>
    <pivotTable tabId="3" name="PivotTable6"/>
    <pivotTable tabId="3" name="PivotTable7"/>
    <pivotTable tabId="3" name="PivotTable8"/>
    <pivotTable tabId="3" name="PivotTable9"/>
  </pivotTables>
  <data>
    <olap pivotCacheId="370293228">
      <levels count="2">
        <level uniqueName="[Ecom].[City].[(All)]" sourceCaption="(All)" count="0"/>
        <level uniqueName="[Ecom].[City].[City]" sourceCaption="City" count="8">
          <ranges>
            <range startItem="0">
              <i n="[Ecom].[City].&amp;[Bengaluru]" c="Bengaluru"/>
              <i n="[Ecom].[City].&amp;[Chennai]" c="Chennai"/>
              <i n="[Ecom].[City].&amp;[Chittoor]" c="Chittoor"/>
              <i n="[Ecom].[City].&amp;[Hyderabad]" c="Hyderabad"/>
              <i n="[Ecom].[City].&amp;[Kadapa]" c="Kadapa"/>
              <i n="[Ecom].[City].&amp;[Nellore]" c="Nellore"/>
              <i n="[Ecom].[City].&amp;[Tirupati]" c="Tirupati"/>
              <i n="[Ecom].[City].&amp;[Vijayawada]" c="Vijayawada"/>
            </range>
          </ranges>
        </level>
      </levels>
      <selections count="1">
        <selection n="[Ecom].[City].&amp;[Chennai]"/>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A05372C-87BC-40C0-B1D9-37009F787F11}" sourceName="[Ecom].[Category]">
  <pivotTables>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370293228">
      <levels count="2">
        <level uniqueName="[Ecom].[Category].[(All)]" sourceCaption="(All)" count="0"/>
        <level uniqueName="[Ecom].[Category].[Category]" sourceCaption="Category" count="4">
          <ranges>
            <range startItem="0">
              <i n="[Ecom].[Category].&amp;[Clothing]" c="Clothing"/>
              <i n="[Ecom].[Category].&amp;[Electronics]" c="Electronics"/>
              <i n="[Ecom].[Category].&amp;[Furniture]" c="Furniture"/>
              <i n="[Ecom].[Category].&amp;[Grocery]" c="Grocery"/>
            </range>
          </ranges>
        </level>
      </levels>
      <selections count="1">
        <selection n="[Ecom].[Category].&amp;[Furnitur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7EC7616A-900F-457A-8822-CF4CA8C33D8C}" cache="Slicer_City" caption="Cit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78DDEF53-31FE-4CB5-8F41-A1CAF72EDC69}" cache="Slicer_City" caption="City" level="1" rowHeight="234950"/>
  <slicer name="Category" xr10:uid="{B44152E7-3698-4193-821F-83539DE4A380}" cache="Slicer_Category" caption="Category"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0B599D-9F04-47C8-BE1F-7D7522BF1F1E}" name="Table_ExternalData_1" displayName="Table_ExternalData_1" ref="A3:O65" tableType="queryTable" totalsRowShown="0">
  <autoFilter ref="A3:O65" xr:uid="{DC0B599D-9F04-47C8-BE1F-7D7522BF1F1E}"/>
  <tableColumns count="15">
    <tableColumn id="1" xr3:uid="{7C043114-78F9-4227-B550-46F2085B01F4}" uniqueName="1" name="Ecom[Order ID]" queryTableFieldId="1"/>
    <tableColumn id="2" xr3:uid="{301841A0-AFBE-4BD4-B655-102A84856800}" uniqueName="2" name="Ecom[Order Date]" queryTableFieldId="2" dataDxfId="56"/>
    <tableColumn id="3" xr3:uid="{4793CA72-ACB2-4684-A0EB-457CBD831BD8}" uniqueName="3" name="Ecom[Customer]" queryTableFieldId="3"/>
    <tableColumn id="4" xr3:uid="{D8A08579-3D60-4C35-8FCB-346346314FBE}" uniqueName="4" name="Ecom[City]" queryTableFieldId="4"/>
    <tableColumn id="5" xr3:uid="{D98239AD-0B71-46AA-84B2-BF58477870AA}" uniqueName="5" name="Ecom[Category]" queryTableFieldId="5"/>
    <tableColumn id="6" xr3:uid="{AFAB7F7F-74BD-4914-8586-AF2BA1637E3C}" uniqueName="6" name="Ecom[Product]" queryTableFieldId="6"/>
    <tableColumn id="7" xr3:uid="{9DBF10B6-F123-41DA-B3B0-55F8A15E5B79}" uniqueName="7" name="Ecom[Quantity]" queryTableFieldId="7"/>
    <tableColumn id="8" xr3:uid="{09D3D9F5-82A3-48B3-8C54-A92235AC0D34}" uniqueName="8" name="Ecom[Unit Price]" queryTableFieldId="8"/>
    <tableColumn id="9" xr3:uid="{63147C7C-FDFA-4913-972E-849343C1CC06}" uniqueName="9" name="Ecom[Sales]" queryTableFieldId="9"/>
    <tableColumn id="10" xr3:uid="{2E525306-472F-4580-8A41-B73175F6D24B}" uniqueName="10" name="Ecom[Profit]" queryTableFieldId="10"/>
    <tableColumn id="11" xr3:uid="{93084C8E-C8C4-444F-ADB3-EAE4FC13429E}" uniqueName="11" name="Ecom[Payment Mode]" queryTableFieldId="11"/>
    <tableColumn id="12" xr3:uid="{E131664E-080E-4824-AE72-408E3087AEEC}" uniqueName="12" name="Ecom[Order Date (Year)]" queryTableFieldId="12"/>
    <tableColumn id="13" xr3:uid="{DD91DA37-E201-48FA-A5FC-360D9E483A5E}" uniqueName="13" name="Ecom[Order Date (Quarter)]" queryTableFieldId="13"/>
    <tableColumn id="14" xr3:uid="{CC7B31F7-3AC8-4C88-9431-CC6CD9AC1019}" uniqueName="14" name="Ecom[Order Date (Month)]" queryTableFieldId="14"/>
    <tableColumn id="15" xr3:uid="{B53B0EA9-E71B-4975-A63D-9399AC6BE829}" uniqueName="15" name="Ecom[Order Date (Month Index)]" queryTableFieldId="1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C06DEC-A9A5-4FA8-BCEF-98B2AF641511}" name="Ecom" displayName="Ecom" ref="A3:K103" totalsRowShown="0" headerRowDxfId="44" headerRowBorderDxfId="43" tableBorderDxfId="42">
  <autoFilter ref="A3:K103" xr:uid="{08C06DEC-A9A5-4FA8-BCEF-98B2AF641511}"/>
  <tableColumns count="11">
    <tableColumn id="1" xr3:uid="{A25D871C-A657-41FB-9263-11134B4AC7F8}" name="Order ID"/>
    <tableColumn id="2" xr3:uid="{37C55ED9-9D5F-4799-9803-3737858C68D1}" name="Order Date" dataDxfId="41"/>
    <tableColumn id="3" xr3:uid="{07D9BD49-ED32-4850-996D-4D9161B9655D}" name="Customer"/>
    <tableColumn id="4" xr3:uid="{C3E83CDE-5C48-4C50-B8B9-FC2456F18DCF}" name="City"/>
    <tableColumn id="5" xr3:uid="{546EA500-AA93-4F8F-BC3D-73B8409DC909}" name="Category"/>
    <tableColumn id="6" xr3:uid="{B3AEF5DF-2A0A-4AA4-B643-8E6539FFACBB}" name="Product"/>
    <tableColumn id="7" xr3:uid="{1AF1953B-DE9D-4012-AC3D-84D86FFDEF97}" name="Quantity"/>
    <tableColumn id="8" xr3:uid="{D36498D2-FAF1-4946-B97E-9F1CA7566008}" name="Unit Price"/>
    <tableColumn id="9" xr3:uid="{CF673FE2-EE8A-434B-9A3D-AC4336CC2D6E}" name="Sales" dataDxfId="40"/>
    <tableColumn id="10" xr3:uid="{3E9C6D0A-9FA5-4E89-B3A3-E58710D5E2FF}" name="Profit" dataDxfId="39"/>
    <tableColumn id="11" xr3:uid="{3F8E7DEB-F79D-4E0C-96C3-7954CF7C448F}" name="Payment Mod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05770-AFE6-48B4-9DBD-53E978860C5A}">
  <dimension ref="A1:O65"/>
  <sheetViews>
    <sheetView topLeftCell="C33" zoomScale="72" workbookViewId="0">
      <selection activeCell="L71" sqref="L71"/>
    </sheetView>
  </sheetViews>
  <sheetFormatPr defaultRowHeight="14.4" x14ac:dyDescent="0.3"/>
  <cols>
    <col min="1" max="1" width="16.33203125" bestFit="1" customWidth="1"/>
    <col min="2" max="2" width="18.44140625" bestFit="1" customWidth="1"/>
    <col min="3" max="3" width="17.44140625" bestFit="1" customWidth="1"/>
    <col min="4" max="4" width="12.44140625" bestFit="1" customWidth="1"/>
    <col min="5" max="5" width="16.88671875" bestFit="1" customWidth="1"/>
    <col min="6" max="6" width="16" bestFit="1" customWidth="1"/>
    <col min="7" max="7" width="16.6640625" bestFit="1" customWidth="1"/>
    <col min="8" max="8" width="17.44140625" bestFit="1" customWidth="1"/>
    <col min="9" max="9" width="13.44140625" bestFit="1" customWidth="1"/>
    <col min="10" max="10" width="13.88671875" bestFit="1" customWidth="1"/>
    <col min="11" max="11" width="22.44140625" bestFit="1" customWidth="1"/>
    <col min="12" max="12" width="24.109375" bestFit="1" customWidth="1"/>
    <col min="13" max="13" width="26.88671875" bestFit="1" customWidth="1"/>
    <col min="14" max="14" width="26.21875" bestFit="1" customWidth="1"/>
    <col min="15" max="15" width="31.44140625" bestFit="1" customWidth="1"/>
  </cols>
  <sheetData>
    <row r="1" spans="1:15" x14ac:dyDescent="0.3">
      <c r="A1" s="20" t="s">
        <v>188</v>
      </c>
    </row>
    <row r="3" spans="1:15" x14ac:dyDescent="0.3">
      <c r="A3" t="s">
        <v>173</v>
      </c>
      <c r="B3" t="s">
        <v>174</v>
      </c>
      <c r="C3" t="s">
        <v>175</v>
      </c>
      <c r="D3" t="s">
        <v>176</v>
      </c>
      <c r="E3" t="s">
        <v>177</v>
      </c>
      <c r="F3" t="s">
        <v>178</v>
      </c>
      <c r="G3" t="s">
        <v>179</v>
      </c>
      <c r="H3" t="s">
        <v>180</v>
      </c>
      <c r="I3" t="s">
        <v>181</v>
      </c>
      <c r="J3" t="s">
        <v>182</v>
      </c>
      <c r="K3" t="s">
        <v>183</v>
      </c>
      <c r="L3" t="s">
        <v>184</v>
      </c>
      <c r="M3" t="s">
        <v>185</v>
      </c>
      <c r="N3" t="s">
        <v>186</v>
      </c>
      <c r="O3" t="s">
        <v>187</v>
      </c>
    </row>
    <row r="4" spans="1:15" x14ac:dyDescent="0.3">
      <c r="A4" t="s">
        <v>49</v>
      </c>
      <c r="B4" s="1">
        <v>46023</v>
      </c>
      <c r="C4" t="s">
        <v>119</v>
      </c>
      <c r="D4" t="s">
        <v>129</v>
      </c>
      <c r="E4" t="s">
        <v>136</v>
      </c>
      <c r="F4" t="s">
        <v>151</v>
      </c>
      <c r="G4">
        <v>4</v>
      </c>
      <c r="H4">
        <v>1600</v>
      </c>
      <c r="I4">
        <v>6400</v>
      </c>
      <c r="J4">
        <v>1685.91</v>
      </c>
      <c r="K4" t="s">
        <v>154</v>
      </c>
      <c r="L4" t="s">
        <v>167</v>
      </c>
      <c r="M4" t="s">
        <v>168</v>
      </c>
      <c r="N4" t="s">
        <v>169</v>
      </c>
      <c r="O4">
        <v>1</v>
      </c>
    </row>
    <row r="5" spans="1:15" x14ac:dyDescent="0.3">
      <c r="A5" t="s">
        <v>50</v>
      </c>
      <c r="B5" s="1">
        <v>46024</v>
      </c>
      <c r="C5" t="s">
        <v>124</v>
      </c>
      <c r="D5" t="s">
        <v>126</v>
      </c>
      <c r="E5" t="s">
        <v>136</v>
      </c>
      <c r="F5" t="s">
        <v>146</v>
      </c>
      <c r="G5">
        <v>2</v>
      </c>
      <c r="H5">
        <v>900</v>
      </c>
      <c r="I5">
        <v>1800</v>
      </c>
      <c r="J5">
        <v>248.73</v>
      </c>
      <c r="K5" t="s">
        <v>155</v>
      </c>
      <c r="L5" t="s">
        <v>167</v>
      </c>
      <c r="M5" t="s">
        <v>168</v>
      </c>
      <c r="N5" t="s">
        <v>169</v>
      </c>
      <c r="O5">
        <v>1</v>
      </c>
    </row>
    <row r="6" spans="1:15" x14ac:dyDescent="0.3">
      <c r="A6" t="s">
        <v>51</v>
      </c>
      <c r="B6" s="1">
        <v>46025</v>
      </c>
      <c r="C6" t="s">
        <v>123</v>
      </c>
      <c r="D6" t="s">
        <v>129</v>
      </c>
      <c r="E6" t="s">
        <v>136</v>
      </c>
      <c r="F6" t="s">
        <v>151</v>
      </c>
      <c r="G6">
        <v>3</v>
      </c>
      <c r="H6">
        <v>1600</v>
      </c>
      <c r="I6">
        <v>4800</v>
      </c>
      <c r="J6">
        <v>599</v>
      </c>
      <c r="K6" t="s">
        <v>157</v>
      </c>
      <c r="L6" t="s">
        <v>167</v>
      </c>
      <c r="M6" t="s">
        <v>168</v>
      </c>
      <c r="N6" t="s">
        <v>169</v>
      </c>
      <c r="O6">
        <v>1</v>
      </c>
    </row>
    <row r="7" spans="1:15" x14ac:dyDescent="0.3">
      <c r="A7" t="s">
        <v>52</v>
      </c>
      <c r="B7" s="1">
        <v>46026</v>
      </c>
      <c r="C7" t="s">
        <v>118</v>
      </c>
      <c r="D7" t="s">
        <v>127</v>
      </c>
      <c r="E7" t="s">
        <v>134</v>
      </c>
      <c r="F7" t="s">
        <v>138</v>
      </c>
      <c r="G7">
        <v>4</v>
      </c>
      <c r="H7">
        <v>1500</v>
      </c>
      <c r="I7">
        <v>6000</v>
      </c>
      <c r="J7">
        <v>1574.74</v>
      </c>
      <c r="K7" t="s">
        <v>156</v>
      </c>
      <c r="L7" t="s">
        <v>167</v>
      </c>
      <c r="M7" t="s">
        <v>168</v>
      </c>
      <c r="N7" t="s">
        <v>169</v>
      </c>
      <c r="O7">
        <v>1</v>
      </c>
    </row>
    <row r="8" spans="1:15" x14ac:dyDescent="0.3">
      <c r="A8" t="s">
        <v>53</v>
      </c>
      <c r="B8" s="1">
        <v>46027</v>
      </c>
      <c r="C8" t="s">
        <v>120</v>
      </c>
      <c r="D8" t="s">
        <v>127</v>
      </c>
      <c r="E8" t="s">
        <v>136</v>
      </c>
      <c r="F8" t="s">
        <v>151</v>
      </c>
      <c r="G8">
        <v>4</v>
      </c>
      <c r="H8">
        <v>1600</v>
      </c>
      <c r="I8">
        <v>6400</v>
      </c>
      <c r="J8">
        <v>1288.77</v>
      </c>
      <c r="K8" t="s">
        <v>154</v>
      </c>
      <c r="L8" t="s">
        <v>167</v>
      </c>
      <c r="M8" t="s">
        <v>168</v>
      </c>
      <c r="N8" t="s">
        <v>169</v>
      </c>
      <c r="O8">
        <v>1</v>
      </c>
    </row>
    <row r="9" spans="1:15" x14ac:dyDescent="0.3">
      <c r="A9" t="s">
        <v>54</v>
      </c>
      <c r="B9" s="1">
        <v>46028</v>
      </c>
      <c r="C9" t="s">
        <v>111</v>
      </c>
      <c r="D9" t="s">
        <v>132</v>
      </c>
      <c r="E9" t="s">
        <v>137</v>
      </c>
      <c r="F9" t="s">
        <v>147</v>
      </c>
      <c r="G9">
        <v>3</v>
      </c>
      <c r="H9">
        <v>2200</v>
      </c>
      <c r="I9">
        <v>6600</v>
      </c>
      <c r="J9">
        <v>1373.8</v>
      </c>
      <c r="K9" t="s">
        <v>155</v>
      </c>
      <c r="L9" t="s">
        <v>167</v>
      </c>
      <c r="M9" t="s">
        <v>168</v>
      </c>
      <c r="N9" t="s">
        <v>169</v>
      </c>
      <c r="O9">
        <v>1</v>
      </c>
    </row>
    <row r="10" spans="1:15" x14ac:dyDescent="0.3">
      <c r="A10" t="s">
        <v>55</v>
      </c>
      <c r="B10" s="1">
        <v>46029</v>
      </c>
      <c r="C10" t="s">
        <v>112</v>
      </c>
      <c r="D10" t="s">
        <v>130</v>
      </c>
      <c r="E10" t="s">
        <v>136</v>
      </c>
      <c r="F10" t="s">
        <v>152</v>
      </c>
      <c r="G10">
        <v>1</v>
      </c>
      <c r="H10">
        <v>2500</v>
      </c>
      <c r="I10">
        <v>2500</v>
      </c>
      <c r="J10">
        <v>694.41</v>
      </c>
      <c r="K10" t="s">
        <v>154</v>
      </c>
      <c r="L10" t="s">
        <v>167</v>
      </c>
      <c r="M10" t="s">
        <v>168</v>
      </c>
      <c r="N10" t="s">
        <v>169</v>
      </c>
      <c r="O10">
        <v>1</v>
      </c>
    </row>
    <row r="11" spans="1:15" x14ac:dyDescent="0.3">
      <c r="A11" t="s">
        <v>56</v>
      </c>
      <c r="B11" s="1">
        <v>46030</v>
      </c>
      <c r="C11" t="s">
        <v>113</v>
      </c>
      <c r="D11" t="s">
        <v>133</v>
      </c>
      <c r="E11" t="s">
        <v>135</v>
      </c>
      <c r="F11" t="s">
        <v>140</v>
      </c>
      <c r="G11">
        <v>2</v>
      </c>
      <c r="H11">
        <v>180</v>
      </c>
      <c r="I11">
        <v>360</v>
      </c>
      <c r="J11">
        <v>97.28</v>
      </c>
      <c r="K11" t="s">
        <v>157</v>
      </c>
      <c r="L11" t="s">
        <v>167</v>
      </c>
      <c r="M11" t="s">
        <v>168</v>
      </c>
      <c r="N11" t="s">
        <v>169</v>
      </c>
      <c r="O11">
        <v>1</v>
      </c>
    </row>
    <row r="12" spans="1:15" x14ac:dyDescent="0.3">
      <c r="A12" t="s">
        <v>57</v>
      </c>
      <c r="B12" s="1">
        <v>46031</v>
      </c>
      <c r="C12" t="s">
        <v>115</v>
      </c>
      <c r="D12" t="s">
        <v>130</v>
      </c>
      <c r="E12" t="s">
        <v>137</v>
      </c>
      <c r="F12" t="s">
        <v>145</v>
      </c>
      <c r="G12">
        <v>4</v>
      </c>
      <c r="H12">
        <v>3800</v>
      </c>
      <c r="I12">
        <v>15200</v>
      </c>
      <c r="J12">
        <v>3898.67</v>
      </c>
      <c r="K12" t="s">
        <v>156</v>
      </c>
      <c r="L12" t="s">
        <v>167</v>
      </c>
      <c r="M12" t="s">
        <v>168</v>
      </c>
      <c r="N12" t="s">
        <v>169</v>
      </c>
      <c r="O12">
        <v>1</v>
      </c>
    </row>
    <row r="13" spans="1:15" x14ac:dyDescent="0.3">
      <c r="A13" t="s">
        <v>58</v>
      </c>
      <c r="B13" s="1">
        <v>46032</v>
      </c>
      <c r="C13" t="s">
        <v>112</v>
      </c>
      <c r="D13" t="s">
        <v>130</v>
      </c>
      <c r="E13" t="s">
        <v>134</v>
      </c>
      <c r="F13" t="s">
        <v>142</v>
      </c>
      <c r="G13">
        <v>1</v>
      </c>
      <c r="H13">
        <v>2500</v>
      </c>
      <c r="I13">
        <v>2500</v>
      </c>
      <c r="J13">
        <v>672.23</v>
      </c>
      <c r="K13" t="s">
        <v>157</v>
      </c>
      <c r="L13" t="s">
        <v>167</v>
      </c>
      <c r="M13" t="s">
        <v>168</v>
      </c>
      <c r="N13" t="s">
        <v>169</v>
      </c>
      <c r="O13">
        <v>1</v>
      </c>
    </row>
    <row r="14" spans="1:15" x14ac:dyDescent="0.3">
      <c r="A14" t="s">
        <v>59</v>
      </c>
      <c r="B14" s="1">
        <v>46033</v>
      </c>
      <c r="C14" t="s">
        <v>112</v>
      </c>
      <c r="D14" t="s">
        <v>132</v>
      </c>
      <c r="E14" t="s">
        <v>136</v>
      </c>
      <c r="F14" t="s">
        <v>151</v>
      </c>
      <c r="G14">
        <v>2</v>
      </c>
      <c r="H14">
        <v>1600</v>
      </c>
      <c r="I14">
        <v>3200</v>
      </c>
      <c r="J14">
        <v>272.66000000000003</v>
      </c>
      <c r="K14" t="s">
        <v>156</v>
      </c>
      <c r="L14" t="s">
        <v>167</v>
      </c>
      <c r="M14" t="s">
        <v>168</v>
      </c>
      <c r="N14" t="s">
        <v>169</v>
      </c>
      <c r="O14">
        <v>1</v>
      </c>
    </row>
    <row r="15" spans="1:15" x14ac:dyDescent="0.3">
      <c r="A15" t="s">
        <v>60</v>
      </c>
      <c r="B15" s="1">
        <v>46034</v>
      </c>
      <c r="C15" t="s">
        <v>120</v>
      </c>
      <c r="D15" t="s">
        <v>128</v>
      </c>
      <c r="E15" t="s">
        <v>134</v>
      </c>
      <c r="F15" t="s">
        <v>153</v>
      </c>
      <c r="G15">
        <v>3</v>
      </c>
      <c r="H15">
        <v>600</v>
      </c>
      <c r="I15">
        <v>1800</v>
      </c>
      <c r="J15">
        <v>398.03</v>
      </c>
      <c r="K15" t="s">
        <v>154</v>
      </c>
      <c r="L15" t="s">
        <v>167</v>
      </c>
      <c r="M15" t="s">
        <v>168</v>
      </c>
      <c r="N15" t="s">
        <v>169</v>
      </c>
      <c r="O15">
        <v>1</v>
      </c>
    </row>
    <row r="16" spans="1:15" x14ac:dyDescent="0.3">
      <c r="A16" t="s">
        <v>61</v>
      </c>
      <c r="B16" s="1">
        <v>46035</v>
      </c>
      <c r="C16" t="s">
        <v>125</v>
      </c>
      <c r="D16" t="s">
        <v>127</v>
      </c>
      <c r="E16" t="s">
        <v>136</v>
      </c>
      <c r="F16" t="s">
        <v>151</v>
      </c>
      <c r="G16">
        <v>5</v>
      </c>
      <c r="H16">
        <v>1600</v>
      </c>
      <c r="I16">
        <v>8000</v>
      </c>
      <c r="J16">
        <v>2334.06</v>
      </c>
      <c r="K16" t="s">
        <v>154</v>
      </c>
      <c r="L16" t="s">
        <v>167</v>
      </c>
      <c r="M16" t="s">
        <v>168</v>
      </c>
      <c r="N16" t="s">
        <v>169</v>
      </c>
      <c r="O16">
        <v>1</v>
      </c>
    </row>
    <row r="17" spans="1:15" x14ac:dyDescent="0.3">
      <c r="A17" t="s">
        <v>62</v>
      </c>
      <c r="B17" s="1">
        <v>46036</v>
      </c>
      <c r="C17" t="s">
        <v>122</v>
      </c>
      <c r="D17" t="s">
        <v>126</v>
      </c>
      <c r="E17" t="s">
        <v>135</v>
      </c>
      <c r="F17" t="s">
        <v>141</v>
      </c>
      <c r="G17">
        <v>3</v>
      </c>
      <c r="H17">
        <v>80</v>
      </c>
      <c r="I17">
        <v>240</v>
      </c>
      <c r="J17">
        <v>42.24</v>
      </c>
      <c r="K17" t="s">
        <v>157</v>
      </c>
      <c r="L17" t="s">
        <v>167</v>
      </c>
      <c r="M17" t="s">
        <v>168</v>
      </c>
      <c r="N17" t="s">
        <v>169</v>
      </c>
      <c r="O17">
        <v>1</v>
      </c>
    </row>
    <row r="18" spans="1:15" x14ac:dyDescent="0.3">
      <c r="A18" t="s">
        <v>63</v>
      </c>
      <c r="B18" s="1">
        <v>46037</v>
      </c>
      <c r="C18" t="s">
        <v>118</v>
      </c>
      <c r="D18" t="s">
        <v>130</v>
      </c>
      <c r="E18" t="s">
        <v>137</v>
      </c>
      <c r="F18" t="s">
        <v>145</v>
      </c>
      <c r="G18">
        <v>1</v>
      </c>
      <c r="H18">
        <v>3800</v>
      </c>
      <c r="I18">
        <v>3800</v>
      </c>
      <c r="J18">
        <v>896.54</v>
      </c>
      <c r="K18" t="s">
        <v>156</v>
      </c>
      <c r="L18" t="s">
        <v>167</v>
      </c>
      <c r="M18" t="s">
        <v>168</v>
      </c>
      <c r="N18" t="s">
        <v>169</v>
      </c>
      <c r="O18">
        <v>1</v>
      </c>
    </row>
    <row r="19" spans="1:15" x14ac:dyDescent="0.3">
      <c r="A19" t="s">
        <v>64</v>
      </c>
      <c r="B19" s="1">
        <v>46038</v>
      </c>
      <c r="C19" t="s">
        <v>115</v>
      </c>
      <c r="D19" t="s">
        <v>126</v>
      </c>
      <c r="E19" t="s">
        <v>134</v>
      </c>
      <c r="F19" t="s">
        <v>153</v>
      </c>
      <c r="G19">
        <v>5</v>
      </c>
      <c r="H19">
        <v>600</v>
      </c>
      <c r="I19">
        <v>3000</v>
      </c>
      <c r="J19">
        <v>447.18</v>
      </c>
      <c r="K19" t="s">
        <v>156</v>
      </c>
      <c r="L19" t="s">
        <v>167</v>
      </c>
      <c r="M19" t="s">
        <v>168</v>
      </c>
      <c r="N19" t="s">
        <v>169</v>
      </c>
      <c r="O19">
        <v>1</v>
      </c>
    </row>
    <row r="20" spans="1:15" x14ac:dyDescent="0.3">
      <c r="A20" t="s">
        <v>65</v>
      </c>
      <c r="B20" s="1">
        <v>46039</v>
      </c>
      <c r="C20" t="s">
        <v>125</v>
      </c>
      <c r="D20" t="s">
        <v>133</v>
      </c>
      <c r="E20" t="s">
        <v>136</v>
      </c>
      <c r="F20" t="s">
        <v>143</v>
      </c>
      <c r="G20">
        <v>3</v>
      </c>
      <c r="H20">
        <v>2200</v>
      </c>
      <c r="I20">
        <v>6600</v>
      </c>
      <c r="J20">
        <v>1112.29</v>
      </c>
      <c r="K20" t="s">
        <v>155</v>
      </c>
      <c r="L20" t="s">
        <v>167</v>
      </c>
      <c r="M20" t="s">
        <v>168</v>
      </c>
      <c r="N20" t="s">
        <v>169</v>
      </c>
      <c r="O20">
        <v>1</v>
      </c>
    </row>
    <row r="21" spans="1:15" x14ac:dyDescent="0.3">
      <c r="A21" t="s">
        <v>66</v>
      </c>
      <c r="B21" s="1">
        <v>46040</v>
      </c>
      <c r="C21" t="s">
        <v>120</v>
      </c>
      <c r="D21" t="s">
        <v>127</v>
      </c>
      <c r="E21" t="s">
        <v>135</v>
      </c>
      <c r="F21" t="s">
        <v>140</v>
      </c>
      <c r="G21">
        <v>5</v>
      </c>
      <c r="H21">
        <v>180</v>
      </c>
      <c r="I21">
        <v>900</v>
      </c>
      <c r="J21">
        <v>184.68</v>
      </c>
      <c r="K21" t="s">
        <v>156</v>
      </c>
      <c r="L21" t="s">
        <v>167</v>
      </c>
      <c r="M21" t="s">
        <v>168</v>
      </c>
      <c r="N21" t="s">
        <v>169</v>
      </c>
      <c r="O21">
        <v>1</v>
      </c>
    </row>
    <row r="22" spans="1:15" x14ac:dyDescent="0.3">
      <c r="A22" t="s">
        <v>67</v>
      </c>
      <c r="B22" s="1">
        <v>46041</v>
      </c>
      <c r="C22" t="s">
        <v>117</v>
      </c>
      <c r="D22" t="s">
        <v>131</v>
      </c>
      <c r="E22" t="s">
        <v>137</v>
      </c>
      <c r="F22" t="s">
        <v>149</v>
      </c>
      <c r="G22">
        <v>5</v>
      </c>
      <c r="H22">
        <v>7000</v>
      </c>
      <c r="I22">
        <v>35000</v>
      </c>
      <c r="J22">
        <v>7471.29</v>
      </c>
      <c r="K22" t="s">
        <v>157</v>
      </c>
      <c r="L22" t="s">
        <v>167</v>
      </c>
      <c r="M22" t="s">
        <v>168</v>
      </c>
      <c r="N22" t="s">
        <v>169</v>
      </c>
      <c r="O22">
        <v>1</v>
      </c>
    </row>
    <row r="23" spans="1:15" x14ac:dyDescent="0.3">
      <c r="A23" t="s">
        <v>68</v>
      </c>
      <c r="B23" s="1">
        <v>46042</v>
      </c>
      <c r="C23" t="s">
        <v>125</v>
      </c>
      <c r="D23" t="s">
        <v>128</v>
      </c>
      <c r="E23" t="s">
        <v>137</v>
      </c>
      <c r="F23" t="s">
        <v>149</v>
      </c>
      <c r="G23">
        <v>2</v>
      </c>
      <c r="H23">
        <v>7000</v>
      </c>
      <c r="I23">
        <v>14000</v>
      </c>
      <c r="J23">
        <v>3149.26</v>
      </c>
      <c r="K23" t="s">
        <v>154</v>
      </c>
      <c r="L23" t="s">
        <v>167</v>
      </c>
      <c r="M23" t="s">
        <v>168</v>
      </c>
      <c r="N23" t="s">
        <v>169</v>
      </c>
      <c r="O23">
        <v>1</v>
      </c>
    </row>
    <row r="24" spans="1:15" x14ac:dyDescent="0.3">
      <c r="A24" t="s">
        <v>69</v>
      </c>
      <c r="B24" s="1">
        <v>46043</v>
      </c>
      <c r="C24" t="s">
        <v>118</v>
      </c>
      <c r="D24" t="s">
        <v>130</v>
      </c>
      <c r="E24" t="s">
        <v>136</v>
      </c>
      <c r="F24" t="s">
        <v>151</v>
      </c>
      <c r="G24">
        <v>2</v>
      </c>
      <c r="H24">
        <v>1600</v>
      </c>
      <c r="I24">
        <v>3200</v>
      </c>
      <c r="J24">
        <v>359.74</v>
      </c>
      <c r="K24" t="s">
        <v>157</v>
      </c>
      <c r="L24" t="s">
        <v>167</v>
      </c>
      <c r="M24" t="s">
        <v>168</v>
      </c>
      <c r="N24" t="s">
        <v>169</v>
      </c>
      <c r="O24">
        <v>1</v>
      </c>
    </row>
    <row r="25" spans="1:15" x14ac:dyDescent="0.3">
      <c r="A25" t="s">
        <v>70</v>
      </c>
      <c r="B25" s="1">
        <v>46044</v>
      </c>
      <c r="C25" t="s">
        <v>114</v>
      </c>
      <c r="D25" t="s">
        <v>130</v>
      </c>
      <c r="E25" t="s">
        <v>134</v>
      </c>
      <c r="F25" t="s">
        <v>142</v>
      </c>
      <c r="G25">
        <v>4</v>
      </c>
      <c r="H25">
        <v>2500</v>
      </c>
      <c r="I25">
        <v>10000</v>
      </c>
      <c r="J25">
        <v>2749.5</v>
      </c>
      <c r="K25" t="s">
        <v>157</v>
      </c>
      <c r="L25" t="s">
        <v>167</v>
      </c>
      <c r="M25" t="s">
        <v>168</v>
      </c>
      <c r="N25" t="s">
        <v>169</v>
      </c>
      <c r="O25">
        <v>1</v>
      </c>
    </row>
    <row r="26" spans="1:15" x14ac:dyDescent="0.3">
      <c r="A26" t="s">
        <v>71</v>
      </c>
      <c r="B26" s="1">
        <v>46045</v>
      </c>
      <c r="C26" t="s">
        <v>118</v>
      </c>
      <c r="D26" t="s">
        <v>126</v>
      </c>
      <c r="E26" t="s">
        <v>135</v>
      </c>
      <c r="F26" t="s">
        <v>140</v>
      </c>
      <c r="G26">
        <v>2</v>
      </c>
      <c r="H26">
        <v>180</v>
      </c>
      <c r="I26">
        <v>360</v>
      </c>
      <c r="J26">
        <v>80.760000000000005</v>
      </c>
      <c r="K26" t="s">
        <v>157</v>
      </c>
      <c r="L26" t="s">
        <v>167</v>
      </c>
      <c r="M26" t="s">
        <v>168</v>
      </c>
      <c r="N26" t="s">
        <v>169</v>
      </c>
      <c r="O26">
        <v>1</v>
      </c>
    </row>
    <row r="27" spans="1:15" x14ac:dyDescent="0.3">
      <c r="A27" t="s">
        <v>72</v>
      </c>
      <c r="B27" s="1">
        <v>46046</v>
      </c>
      <c r="C27" t="s">
        <v>124</v>
      </c>
      <c r="D27" t="s">
        <v>126</v>
      </c>
      <c r="E27" t="s">
        <v>137</v>
      </c>
      <c r="F27" t="s">
        <v>149</v>
      </c>
      <c r="G27">
        <v>1</v>
      </c>
      <c r="H27">
        <v>7000</v>
      </c>
      <c r="I27">
        <v>7000</v>
      </c>
      <c r="J27">
        <v>1418.4</v>
      </c>
      <c r="K27" t="s">
        <v>157</v>
      </c>
      <c r="L27" t="s">
        <v>167</v>
      </c>
      <c r="M27" t="s">
        <v>168</v>
      </c>
      <c r="N27" t="s">
        <v>169</v>
      </c>
      <c r="O27">
        <v>1</v>
      </c>
    </row>
    <row r="28" spans="1:15" x14ac:dyDescent="0.3">
      <c r="A28" t="s">
        <v>73</v>
      </c>
      <c r="B28" s="1">
        <v>46047</v>
      </c>
      <c r="C28" t="s">
        <v>119</v>
      </c>
      <c r="D28" t="s">
        <v>132</v>
      </c>
      <c r="E28" t="s">
        <v>135</v>
      </c>
      <c r="F28" t="s">
        <v>141</v>
      </c>
      <c r="G28">
        <v>4</v>
      </c>
      <c r="H28">
        <v>80</v>
      </c>
      <c r="I28">
        <v>320</v>
      </c>
      <c r="J28">
        <v>68.73</v>
      </c>
      <c r="K28" t="s">
        <v>157</v>
      </c>
      <c r="L28" t="s">
        <v>167</v>
      </c>
      <c r="M28" t="s">
        <v>168</v>
      </c>
      <c r="N28" t="s">
        <v>169</v>
      </c>
      <c r="O28">
        <v>1</v>
      </c>
    </row>
    <row r="29" spans="1:15" x14ac:dyDescent="0.3">
      <c r="A29" t="s">
        <v>74</v>
      </c>
      <c r="B29" s="1">
        <v>46048</v>
      </c>
      <c r="C29" t="s">
        <v>115</v>
      </c>
      <c r="D29" t="s">
        <v>129</v>
      </c>
      <c r="E29" t="s">
        <v>135</v>
      </c>
      <c r="F29" t="s">
        <v>150</v>
      </c>
      <c r="G29">
        <v>3</v>
      </c>
      <c r="H29">
        <v>250</v>
      </c>
      <c r="I29">
        <v>750</v>
      </c>
      <c r="J29">
        <v>184.04</v>
      </c>
      <c r="K29" t="s">
        <v>157</v>
      </c>
      <c r="L29" t="s">
        <v>167</v>
      </c>
      <c r="M29" t="s">
        <v>168</v>
      </c>
      <c r="N29" t="s">
        <v>169</v>
      </c>
      <c r="O29">
        <v>1</v>
      </c>
    </row>
    <row r="30" spans="1:15" x14ac:dyDescent="0.3">
      <c r="A30" t="s">
        <v>75</v>
      </c>
      <c r="B30" s="1">
        <v>46049</v>
      </c>
      <c r="C30" t="s">
        <v>125</v>
      </c>
      <c r="D30" t="s">
        <v>130</v>
      </c>
      <c r="E30" t="s">
        <v>137</v>
      </c>
      <c r="F30" t="s">
        <v>145</v>
      </c>
      <c r="G30">
        <v>4</v>
      </c>
      <c r="H30">
        <v>3800</v>
      </c>
      <c r="I30">
        <v>15200</v>
      </c>
      <c r="J30">
        <v>1475.1</v>
      </c>
      <c r="K30" t="s">
        <v>156</v>
      </c>
      <c r="L30" t="s">
        <v>167</v>
      </c>
      <c r="M30" t="s">
        <v>168</v>
      </c>
      <c r="N30" t="s">
        <v>169</v>
      </c>
      <c r="O30">
        <v>1</v>
      </c>
    </row>
    <row r="31" spans="1:15" x14ac:dyDescent="0.3">
      <c r="A31" t="s">
        <v>76</v>
      </c>
      <c r="B31" s="1">
        <v>46050</v>
      </c>
      <c r="C31" t="s">
        <v>120</v>
      </c>
      <c r="D31" t="s">
        <v>133</v>
      </c>
      <c r="E31" t="s">
        <v>136</v>
      </c>
      <c r="F31" t="s">
        <v>146</v>
      </c>
      <c r="G31">
        <v>2</v>
      </c>
      <c r="H31">
        <v>900</v>
      </c>
      <c r="I31">
        <v>1800</v>
      </c>
      <c r="J31">
        <v>203.73</v>
      </c>
      <c r="K31" t="s">
        <v>155</v>
      </c>
      <c r="L31" t="s">
        <v>167</v>
      </c>
      <c r="M31" t="s">
        <v>168</v>
      </c>
      <c r="N31" t="s">
        <v>169</v>
      </c>
      <c r="O31">
        <v>1</v>
      </c>
    </row>
    <row r="32" spans="1:15" x14ac:dyDescent="0.3">
      <c r="A32" t="s">
        <v>77</v>
      </c>
      <c r="B32" s="1">
        <v>46051</v>
      </c>
      <c r="C32" t="s">
        <v>120</v>
      </c>
      <c r="D32" t="s">
        <v>127</v>
      </c>
      <c r="E32" t="s">
        <v>135</v>
      </c>
      <c r="F32" t="s">
        <v>150</v>
      </c>
      <c r="G32">
        <v>3</v>
      </c>
      <c r="H32">
        <v>250</v>
      </c>
      <c r="I32">
        <v>750</v>
      </c>
      <c r="J32">
        <v>149.53</v>
      </c>
      <c r="K32" t="s">
        <v>155</v>
      </c>
      <c r="L32" t="s">
        <v>167</v>
      </c>
      <c r="M32" t="s">
        <v>168</v>
      </c>
      <c r="N32" t="s">
        <v>169</v>
      </c>
      <c r="O32">
        <v>1</v>
      </c>
    </row>
    <row r="33" spans="1:15" x14ac:dyDescent="0.3">
      <c r="A33" t="s">
        <v>78</v>
      </c>
      <c r="B33" s="1">
        <v>46052</v>
      </c>
      <c r="C33" t="s">
        <v>118</v>
      </c>
      <c r="D33" t="s">
        <v>128</v>
      </c>
      <c r="E33" t="s">
        <v>135</v>
      </c>
      <c r="F33" t="s">
        <v>139</v>
      </c>
      <c r="G33">
        <v>5</v>
      </c>
      <c r="H33">
        <v>700</v>
      </c>
      <c r="I33">
        <v>3500</v>
      </c>
      <c r="J33">
        <v>572.89</v>
      </c>
      <c r="K33" t="s">
        <v>156</v>
      </c>
      <c r="L33" t="s">
        <v>167</v>
      </c>
      <c r="M33" t="s">
        <v>168</v>
      </c>
      <c r="N33" t="s">
        <v>169</v>
      </c>
      <c r="O33">
        <v>1</v>
      </c>
    </row>
    <row r="34" spans="1:15" x14ac:dyDescent="0.3">
      <c r="A34" t="s">
        <v>79</v>
      </c>
      <c r="B34" s="1">
        <v>46053</v>
      </c>
      <c r="C34" t="s">
        <v>120</v>
      </c>
      <c r="D34" t="s">
        <v>131</v>
      </c>
      <c r="E34" t="s">
        <v>135</v>
      </c>
      <c r="F34" t="s">
        <v>140</v>
      </c>
      <c r="G34">
        <v>4</v>
      </c>
      <c r="H34">
        <v>180</v>
      </c>
      <c r="I34">
        <v>720</v>
      </c>
      <c r="J34">
        <v>92.36</v>
      </c>
      <c r="K34" t="s">
        <v>154</v>
      </c>
      <c r="L34" t="s">
        <v>167</v>
      </c>
      <c r="M34" t="s">
        <v>168</v>
      </c>
      <c r="N34" t="s">
        <v>169</v>
      </c>
      <c r="O34">
        <v>1</v>
      </c>
    </row>
    <row r="35" spans="1:15" x14ac:dyDescent="0.3">
      <c r="A35" t="s">
        <v>80</v>
      </c>
      <c r="B35" s="1">
        <v>46054</v>
      </c>
      <c r="C35" t="s">
        <v>124</v>
      </c>
      <c r="D35" t="s">
        <v>133</v>
      </c>
      <c r="E35" t="s">
        <v>136</v>
      </c>
      <c r="F35" t="s">
        <v>143</v>
      </c>
      <c r="G35">
        <v>2</v>
      </c>
      <c r="H35">
        <v>2200</v>
      </c>
      <c r="I35">
        <v>4400</v>
      </c>
      <c r="J35">
        <v>1165.6099999999999</v>
      </c>
      <c r="K35" t="s">
        <v>154</v>
      </c>
      <c r="L35" t="s">
        <v>167</v>
      </c>
      <c r="M35" t="s">
        <v>168</v>
      </c>
      <c r="N35" t="s">
        <v>170</v>
      </c>
      <c r="O35">
        <v>2</v>
      </c>
    </row>
    <row r="36" spans="1:15" x14ac:dyDescent="0.3">
      <c r="A36" t="s">
        <v>81</v>
      </c>
      <c r="B36" s="1">
        <v>46055</v>
      </c>
      <c r="C36" t="s">
        <v>121</v>
      </c>
      <c r="D36" t="s">
        <v>133</v>
      </c>
      <c r="E36" t="s">
        <v>134</v>
      </c>
      <c r="F36" t="s">
        <v>138</v>
      </c>
      <c r="G36">
        <v>4</v>
      </c>
      <c r="H36">
        <v>1500</v>
      </c>
      <c r="I36">
        <v>6000</v>
      </c>
      <c r="J36">
        <v>659.12</v>
      </c>
      <c r="K36" t="s">
        <v>154</v>
      </c>
      <c r="L36" t="s">
        <v>167</v>
      </c>
      <c r="M36" t="s">
        <v>168</v>
      </c>
      <c r="N36" t="s">
        <v>170</v>
      </c>
      <c r="O36">
        <v>2</v>
      </c>
    </row>
    <row r="37" spans="1:15" x14ac:dyDescent="0.3">
      <c r="A37" t="s">
        <v>82</v>
      </c>
      <c r="B37" s="1">
        <v>46056</v>
      </c>
      <c r="C37" t="s">
        <v>117</v>
      </c>
      <c r="D37" t="s">
        <v>132</v>
      </c>
      <c r="E37" t="s">
        <v>135</v>
      </c>
      <c r="F37" t="s">
        <v>141</v>
      </c>
      <c r="G37">
        <v>2</v>
      </c>
      <c r="H37">
        <v>80</v>
      </c>
      <c r="I37">
        <v>160</v>
      </c>
      <c r="J37">
        <v>28.81</v>
      </c>
      <c r="K37" t="s">
        <v>156</v>
      </c>
      <c r="L37" t="s">
        <v>167</v>
      </c>
      <c r="M37" t="s">
        <v>168</v>
      </c>
      <c r="N37" t="s">
        <v>170</v>
      </c>
      <c r="O37">
        <v>2</v>
      </c>
    </row>
    <row r="38" spans="1:15" x14ac:dyDescent="0.3">
      <c r="A38" t="s">
        <v>83</v>
      </c>
      <c r="B38" s="1">
        <v>46057</v>
      </c>
      <c r="C38" t="s">
        <v>122</v>
      </c>
      <c r="D38" t="s">
        <v>127</v>
      </c>
      <c r="E38" t="s">
        <v>136</v>
      </c>
      <c r="F38" t="s">
        <v>146</v>
      </c>
      <c r="G38">
        <v>4</v>
      </c>
      <c r="H38">
        <v>900</v>
      </c>
      <c r="I38">
        <v>3600</v>
      </c>
      <c r="J38">
        <v>303.35000000000002</v>
      </c>
      <c r="K38" t="s">
        <v>156</v>
      </c>
      <c r="L38" t="s">
        <v>167</v>
      </c>
      <c r="M38" t="s">
        <v>168</v>
      </c>
      <c r="N38" t="s">
        <v>170</v>
      </c>
      <c r="O38">
        <v>2</v>
      </c>
    </row>
    <row r="39" spans="1:15" x14ac:dyDescent="0.3">
      <c r="A39" t="s">
        <v>84</v>
      </c>
      <c r="B39" s="1">
        <v>46058</v>
      </c>
      <c r="C39" t="s">
        <v>112</v>
      </c>
      <c r="D39" t="s">
        <v>127</v>
      </c>
      <c r="E39" t="s">
        <v>134</v>
      </c>
      <c r="F39" t="s">
        <v>138</v>
      </c>
      <c r="G39">
        <v>1</v>
      </c>
      <c r="H39">
        <v>1500</v>
      </c>
      <c r="I39">
        <v>1500</v>
      </c>
      <c r="J39">
        <v>433.37</v>
      </c>
      <c r="K39" t="s">
        <v>155</v>
      </c>
      <c r="L39" t="s">
        <v>167</v>
      </c>
      <c r="M39" t="s">
        <v>168</v>
      </c>
      <c r="N39" t="s">
        <v>170</v>
      </c>
      <c r="O39">
        <v>2</v>
      </c>
    </row>
    <row r="40" spans="1:15" x14ac:dyDescent="0.3">
      <c r="A40" t="s">
        <v>85</v>
      </c>
      <c r="B40" s="1">
        <v>46059</v>
      </c>
      <c r="C40" t="s">
        <v>112</v>
      </c>
      <c r="D40" t="s">
        <v>131</v>
      </c>
      <c r="E40" t="s">
        <v>137</v>
      </c>
      <c r="F40" t="s">
        <v>149</v>
      </c>
      <c r="G40">
        <v>1</v>
      </c>
      <c r="H40">
        <v>7000</v>
      </c>
      <c r="I40">
        <v>7000</v>
      </c>
      <c r="J40">
        <v>1428.51</v>
      </c>
      <c r="K40" t="s">
        <v>156</v>
      </c>
      <c r="L40" t="s">
        <v>167</v>
      </c>
      <c r="M40" t="s">
        <v>168</v>
      </c>
      <c r="N40" t="s">
        <v>170</v>
      </c>
      <c r="O40">
        <v>2</v>
      </c>
    </row>
    <row r="41" spans="1:15" x14ac:dyDescent="0.3">
      <c r="A41" t="s">
        <v>86</v>
      </c>
      <c r="B41" s="1">
        <v>46060</v>
      </c>
      <c r="C41" t="s">
        <v>116</v>
      </c>
      <c r="D41" t="s">
        <v>127</v>
      </c>
      <c r="E41" t="s">
        <v>137</v>
      </c>
      <c r="F41" t="s">
        <v>147</v>
      </c>
      <c r="G41">
        <v>2</v>
      </c>
      <c r="H41">
        <v>2200</v>
      </c>
      <c r="I41">
        <v>4400</v>
      </c>
      <c r="J41">
        <v>1285.8499999999999</v>
      </c>
      <c r="K41" t="s">
        <v>156</v>
      </c>
      <c r="L41" t="s">
        <v>167</v>
      </c>
      <c r="M41" t="s">
        <v>168</v>
      </c>
      <c r="N41" t="s">
        <v>170</v>
      </c>
      <c r="O41">
        <v>2</v>
      </c>
    </row>
    <row r="42" spans="1:15" x14ac:dyDescent="0.3">
      <c r="A42" t="s">
        <v>87</v>
      </c>
      <c r="B42" s="1">
        <v>46061</v>
      </c>
      <c r="C42" t="s">
        <v>119</v>
      </c>
      <c r="D42" t="s">
        <v>130</v>
      </c>
      <c r="E42" t="s">
        <v>135</v>
      </c>
      <c r="F42" t="s">
        <v>150</v>
      </c>
      <c r="G42">
        <v>2</v>
      </c>
      <c r="H42">
        <v>250</v>
      </c>
      <c r="I42">
        <v>500</v>
      </c>
      <c r="J42">
        <v>48.36</v>
      </c>
      <c r="K42" t="s">
        <v>154</v>
      </c>
      <c r="L42" t="s">
        <v>167</v>
      </c>
      <c r="M42" t="s">
        <v>168</v>
      </c>
      <c r="N42" t="s">
        <v>170</v>
      </c>
      <c r="O42">
        <v>2</v>
      </c>
    </row>
    <row r="43" spans="1:15" x14ac:dyDescent="0.3">
      <c r="A43" t="s">
        <v>88</v>
      </c>
      <c r="B43" s="1">
        <v>46062</v>
      </c>
      <c r="C43" t="s">
        <v>117</v>
      </c>
      <c r="D43" t="s">
        <v>132</v>
      </c>
      <c r="E43" t="s">
        <v>136</v>
      </c>
      <c r="F43" t="s">
        <v>146</v>
      </c>
      <c r="G43">
        <v>5</v>
      </c>
      <c r="H43">
        <v>900</v>
      </c>
      <c r="I43">
        <v>4500</v>
      </c>
      <c r="J43">
        <v>1134.81</v>
      </c>
      <c r="K43" t="s">
        <v>156</v>
      </c>
      <c r="L43" t="s">
        <v>167</v>
      </c>
      <c r="M43" t="s">
        <v>168</v>
      </c>
      <c r="N43" t="s">
        <v>170</v>
      </c>
      <c r="O43">
        <v>2</v>
      </c>
    </row>
    <row r="44" spans="1:15" x14ac:dyDescent="0.3">
      <c r="A44" t="s">
        <v>89</v>
      </c>
      <c r="B44" s="1">
        <v>46063</v>
      </c>
      <c r="C44" t="s">
        <v>116</v>
      </c>
      <c r="D44" t="s">
        <v>132</v>
      </c>
      <c r="E44" t="s">
        <v>136</v>
      </c>
      <c r="F44" t="s">
        <v>146</v>
      </c>
      <c r="G44">
        <v>4</v>
      </c>
      <c r="H44">
        <v>900</v>
      </c>
      <c r="I44">
        <v>3600</v>
      </c>
      <c r="J44">
        <v>939.29</v>
      </c>
      <c r="K44" t="s">
        <v>156</v>
      </c>
      <c r="L44" t="s">
        <v>167</v>
      </c>
      <c r="M44" t="s">
        <v>168</v>
      </c>
      <c r="N44" t="s">
        <v>170</v>
      </c>
      <c r="O44">
        <v>2</v>
      </c>
    </row>
    <row r="45" spans="1:15" x14ac:dyDescent="0.3">
      <c r="A45" t="s">
        <v>90</v>
      </c>
      <c r="B45" s="1">
        <v>46064</v>
      </c>
      <c r="C45" t="s">
        <v>122</v>
      </c>
      <c r="D45" t="s">
        <v>129</v>
      </c>
      <c r="E45" t="s">
        <v>135</v>
      </c>
      <c r="F45" t="s">
        <v>140</v>
      </c>
      <c r="G45">
        <v>4</v>
      </c>
      <c r="H45">
        <v>180</v>
      </c>
      <c r="I45">
        <v>720</v>
      </c>
      <c r="J45">
        <v>85.5</v>
      </c>
      <c r="K45" t="s">
        <v>157</v>
      </c>
      <c r="L45" t="s">
        <v>167</v>
      </c>
      <c r="M45" t="s">
        <v>168</v>
      </c>
      <c r="N45" t="s">
        <v>170</v>
      </c>
      <c r="O45">
        <v>2</v>
      </c>
    </row>
    <row r="46" spans="1:15" x14ac:dyDescent="0.3">
      <c r="A46" t="s">
        <v>91</v>
      </c>
      <c r="B46" s="1">
        <v>46065</v>
      </c>
      <c r="C46" t="s">
        <v>115</v>
      </c>
      <c r="D46" t="s">
        <v>126</v>
      </c>
      <c r="E46" t="s">
        <v>135</v>
      </c>
      <c r="F46" t="s">
        <v>141</v>
      </c>
      <c r="G46">
        <v>3</v>
      </c>
      <c r="H46">
        <v>80</v>
      </c>
      <c r="I46">
        <v>240</v>
      </c>
      <c r="J46">
        <v>64.17</v>
      </c>
      <c r="K46" t="s">
        <v>156</v>
      </c>
      <c r="L46" t="s">
        <v>167</v>
      </c>
      <c r="M46" t="s">
        <v>168</v>
      </c>
      <c r="N46" t="s">
        <v>170</v>
      </c>
      <c r="O46">
        <v>2</v>
      </c>
    </row>
    <row r="47" spans="1:15" x14ac:dyDescent="0.3">
      <c r="A47" t="s">
        <v>92</v>
      </c>
      <c r="B47" s="1">
        <v>46066</v>
      </c>
      <c r="C47" t="s">
        <v>120</v>
      </c>
      <c r="D47" t="s">
        <v>128</v>
      </c>
      <c r="E47" t="s">
        <v>137</v>
      </c>
      <c r="F47" t="s">
        <v>149</v>
      </c>
      <c r="G47">
        <v>5</v>
      </c>
      <c r="H47">
        <v>7000</v>
      </c>
      <c r="I47">
        <v>35000</v>
      </c>
      <c r="J47">
        <v>7499.55</v>
      </c>
      <c r="K47" t="s">
        <v>154</v>
      </c>
      <c r="L47" t="s">
        <v>167</v>
      </c>
      <c r="M47" t="s">
        <v>168</v>
      </c>
      <c r="N47" t="s">
        <v>170</v>
      </c>
      <c r="O47">
        <v>2</v>
      </c>
    </row>
    <row r="48" spans="1:15" x14ac:dyDescent="0.3">
      <c r="A48" t="s">
        <v>93</v>
      </c>
      <c r="B48" s="1">
        <v>46067</v>
      </c>
      <c r="C48" t="s">
        <v>113</v>
      </c>
      <c r="D48" t="s">
        <v>129</v>
      </c>
      <c r="E48" t="s">
        <v>136</v>
      </c>
      <c r="F48" t="s">
        <v>151</v>
      </c>
      <c r="G48">
        <v>4</v>
      </c>
      <c r="H48">
        <v>1600</v>
      </c>
      <c r="I48">
        <v>6400</v>
      </c>
      <c r="J48">
        <v>810.66</v>
      </c>
      <c r="K48" t="s">
        <v>156</v>
      </c>
      <c r="L48" t="s">
        <v>167</v>
      </c>
      <c r="M48" t="s">
        <v>168</v>
      </c>
      <c r="N48" t="s">
        <v>170</v>
      </c>
      <c r="O48">
        <v>2</v>
      </c>
    </row>
    <row r="49" spans="1:15" x14ac:dyDescent="0.3">
      <c r="A49" t="s">
        <v>94</v>
      </c>
      <c r="B49" s="1">
        <v>46068</v>
      </c>
      <c r="C49" t="s">
        <v>116</v>
      </c>
      <c r="D49" t="s">
        <v>130</v>
      </c>
      <c r="E49" t="s">
        <v>136</v>
      </c>
      <c r="F49" t="s">
        <v>146</v>
      </c>
      <c r="G49">
        <v>5</v>
      </c>
      <c r="H49">
        <v>900</v>
      </c>
      <c r="I49">
        <v>4500</v>
      </c>
      <c r="J49">
        <v>1298.58</v>
      </c>
      <c r="K49" t="s">
        <v>157</v>
      </c>
      <c r="L49" t="s">
        <v>167</v>
      </c>
      <c r="M49" t="s">
        <v>168</v>
      </c>
      <c r="N49" t="s">
        <v>170</v>
      </c>
      <c r="O49">
        <v>2</v>
      </c>
    </row>
    <row r="50" spans="1:15" x14ac:dyDescent="0.3">
      <c r="A50" t="s">
        <v>95</v>
      </c>
      <c r="B50" s="1">
        <v>46069</v>
      </c>
      <c r="C50" t="s">
        <v>118</v>
      </c>
      <c r="D50" t="s">
        <v>126</v>
      </c>
      <c r="E50" t="s">
        <v>137</v>
      </c>
      <c r="F50" t="s">
        <v>149</v>
      </c>
      <c r="G50">
        <v>4</v>
      </c>
      <c r="H50">
        <v>7000</v>
      </c>
      <c r="I50">
        <v>28000</v>
      </c>
      <c r="J50">
        <v>5000.76</v>
      </c>
      <c r="K50" t="s">
        <v>156</v>
      </c>
      <c r="L50" t="s">
        <v>167</v>
      </c>
      <c r="M50" t="s">
        <v>168</v>
      </c>
      <c r="N50" t="s">
        <v>170</v>
      </c>
      <c r="O50">
        <v>2</v>
      </c>
    </row>
    <row r="51" spans="1:15" x14ac:dyDescent="0.3">
      <c r="A51" t="s">
        <v>96</v>
      </c>
      <c r="B51" s="1">
        <v>46070</v>
      </c>
      <c r="C51" t="s">
        <v>117</v>
      </c>
      <c r="D51" t="s">
        <v>131</v>
      </c>
      <c r="E51" t="s">
        <v>135</v>
      </c>
      <c r="F51" t="s">
        <v>140</v>
      </c>
      <c r="G51">
        <v>3</v>
      </c>
      <c r="H51">
        <v>180</v>
      </c>
      <c r="I51">
        <v>540</v>
      </c>
      <c r="J51">
        <v>122.08</v>
      </c>
      <c r="K51" t="s">
        <v>156</v>
      </c>
      <c r="L51" t="s">
        <v>167</v>
      </c>
      <c r="M51" t="s">
        <v>168</v>
      </c>
      <c r="N51" t="s">
        <v>170</v>
      </c>
      <c r="O51">
        <v>2</v>
      </c>
    </row>
    <row r="52" spans="1:15" x14ac:dyDescent="0.3">
      <c r="A52" t="s">
        <v>97</v>
      </c>
      <c r="B52" s="1">
        <v>46071</v>
      </c>
      <c r="C52" t="s">
        <v>125</v>
      </c>
      <c r="D52" t="s">
        <v>130</v>
      </c>
      <c r="E52" t="s">
        <v>136</v>
      </c>
      <c r="F52" t="s">
        <v>152</v>
      </c>
      <c r="G52">
        <v>4</v>
      </c>
      <c r="H52">
        <v>2500</v>
      </c>
      <c r="I52">
        <v>10000</v>
      </c>
      <c r="J52">
        <v>1396.02</v>
      </c>
      <c r="K52" t="s">
        <v>154</v>
      </c>
      <c r="L52" t="s">
        <v>167</v>
      </c>
      <c r="M52" t="s">
        <v>168</v>
      </c>
      <c r="N52" t="s">
        <v>170</v>
      </c>
      <c r="O52">
        <v>2</v>
      </c>
    </row>
    <row r="53" spans="1:15" x14ac:dyDescent="0.3">
      <c r="A53" t="s">
        <v>98</v>
      </c>
      <c r="B53" s="1">
        <v>46072</v>
      </c>
      <c r="C53" t="s">
        <v>119</v>
      </c>
      <c r="D53" t="s">
        <v>133</v>
      </c>
      <c r="E53" t="s">
        <v>136</v>
      </c>
      <c r="F53" t="s">
        <v>146</v>
      </c>
      <c r="G53">
        <v>5</v>
      </c>
      <c r="H53">
        <v>900</v>
      </c>
      <c r="I53">
        <v>4500</v>
      </c>
      <c r="J53">
        <v>1301.3699999999999</v>
      </c>
      <c r="K53" t="s">
        <v>155</v>
      </c>
      <c r="L53" t="s">
        <v>167</v>
      </c>
      <c r="M53" t="s">
        <v>168</v>
      </c>
      <c r="N53" t="s">
        <v>170</v>
      </c>
      <c r="O53">
        <v>2</v>
      </c>
    </row>
    <row r="54" spans="1:15" x14ac:dyDescent="0.3">
      <c r="A54" t="s">
        <v>99</v>
      </c>
      <c r="B54" s="1">
        <v>46073</v>
      </c>
      <c r="C54" t="s">
        <v>122</v>
      </c>
      <c r="D54" t="s">
        <v>129</v>
      </c>
      <c r="E54" t="s">
        <v>135</v>
      </c>
      <c r="F54" t="s">
        <v>141</v>
      </c>
      <c r="G54">
        <v>5</v>
      </c>
      <c r="H54">
        <v>80</v>
      </c>
      <c r="I54">
        <v>400</v>
      </c>
      <c r="J54">
        <v>117.94</v>
      </c>
      <c r="K54" t="s">
        <v>154</v>
      </c>
      <c r="L54" t="s">
        <v>167</v>
      </c>
      <c r="M54" t="s">
        <v>168</v>
      </c>
      <c r="N54" t="s">
        <v>170</v>
      </c>
      <c r="O54">
        <v>2</v>
      </c>
    </row>
    <row r="55" spans="1:15" x14ac:dyDescent="0.3">
      <c r="A55" t="s">
        <v>100</v>
      </c>
      <c r="B55" s="1">
        <v>46074</v>
      </c>
      <c r="C55" t="s">
        <v>118</v>
      </c>
      <c r="D55" t="s">
        <v>133</v>
      </c>
      <c r="E55" t="s">
        <v>136</v>
      </c>
      <c r="F55" t="s">
        <v>151</v>
      </c>
      <c r="G55">
        <v>3</v>
      </c>
      <c r="H55">
        <v>1600</v>
      </c>
      <c r="I55">
        <v>4800</v>
      </c>
      <c r="J55">
        <v>573.49</v>
      </c>
      <c r="K55" t="s">
        <v>156</v>
      </c>
      <c r="L55" t="s">
        <v>167</v>
      </c>
      <c r="M55" t="s">
        <v>168</v>
      </c>
      <c r="N55" t="s">
        <v>170</v>
      </c>
      <c r="O55">
        <v>2</v>
      </c>
    </row>
    <row r="56" spans="1:15" x14ac:dyDescent="0.3">
      <c r="A56" t="s">
        <v>101</v>
      </c>
      <c r="B56" s="1">
        <v>46075</v>
      </c>
      <c r="C56" t="s">
        <v>113</v>
      </c>
      <c r="D56" t="s">
        <v>131</v>
      </c>
      <c r="E56" t="s">
        <v>134</v>
      </c>
      <c r="F56" t="s">
        <v>153</v>
      </c>
      <c r="G56">
        <v>2</v>
      </c>
      <c r="H56">
        <v>600</v>
      </c>
      <c r="I56">
        <v>1200</v>
      </c>
      <c r="J56">
        <v>264.39999999999998</v>
      </c>
      <c r="K56" t="s">
        <v>154</v>
      </c>
      <c r="L56" t="s">
        <v>167</v>
      </c>
      <c r="M56" t="s">
        <v>168</v>
      </c>
      <c r="N56" t="s">
        <v>170</v>
      </c>
      <c r="O56">
        <v>2</v>
      </c>
    </row>
    <row r="57" spans="1:15" x14ac:dyDescent="0.3">
      <c r="A57" t="s">
        <v>102</v>
      </c>
      <c r="B57" s="1">
        <v>46076</v>
      </c>
      <c r="C57" t="s">
        <v>111</v>
      </c>
      <c r="D57" t="s">
        <v>127</v>
      </c>
      <c r="E57" t="s">
        <v>136</v>
      </c>
      <c r="F57" t="s">
        <v>143</v>
      </c>
      <c r="G57">
        <v>4</v>
      </c>
      <c r="H57">
        <v>2200</v>
      </c>
      <c r="I57">
        <v>8800</v>
      </c>
      <c r="J57">
        <v>1556.75</v>
      </c>
      <c r="K57" t="s">
        <v>156</v>
      </c>
      <c r="L57" t="s">
        <v>167</v>
      </c>
      <c r="M57" t="s">
        <v>168</v>
      </c>
      <c r="N57" t="s">
        <v>170</v>
      </c>
      <c r="O57">
        <v>2</v>
      </c>
    </row>
    <row r="58" spans="1:15" x14ac:dyDescent="0.3">
      <c r="A58" t="s">
        <v>103</v>
      </c>
      <c r="B58" s="1">
        <v>46077</v>
      </c>
      <c r="C58" t="s">
        <v>114</v>
      </c>
      <c r="D58" t="s">
        <v>127</v>
      </c>
      <c r="E58" t="s">
        <v>134</v>
      </c>
      <c r="F58" t="s">
        <v>138</v>
      </c>
      <c r="G58">
        <v>4</v>
      </c>
      <c r="H58">
        <v>1500</v>
      </c>
      <c r="I58">
        <v>6000</v>
      </c>
      <c r="J58">
        <v>1129.1099999999999</v>
      </c>
      <c r="K58" t="s">
        <v>155</v>
      </c>
      <c r="L58" t="s">
        <v>167</v>
      </c>
      <c r="M58" t="s">
        <v>168</v>
      </c>
      <c r="N58" t="s">
        <v>170</v>
      </c>
      <c r="O58">
        <v>2</v>
      </c>
    </row>
    <row r="59" spans="1:15" x14ac:dyDescent="0.3">
      <c r="A59" t="s">
        <v>104</v>
      </c>
      <c r="B59" s="1">
        <v>46078</v>
      </c>
      <c r="C59" t="s">
        <v>113</v>
      </c>
      <c r="D59" t="s">
        <v>132</v>
      </c>
      <c r="E59" t="s">
        <v>136</v>
      </c>
      <c r="F59" t="s">
        <v>146</v>
      </c>
      <c r="G59">
        <v>2</v>
      </c>
      <c r="H59">
        <v>900</v>
      </c>
      <c r="I59">
        <v>1800</v>
      </c>
      <c r="J59">
        <v>190.91</v>
      </c>
      <c r="K59" t="s">
        <v>155</v>
      </c>
      <c r="L59" t="s">
        <v>167</v>
      </c>
      <c r="M59" t="s">
        <v>168</v>
      </c>
      <c r="N59" t="s">
        <v>170</v>
      </c>
      <c r="O59">
        <v>2</v>
      </c>
    </row>
    <row r="60" spans="1:15" x14ac:dyDescent="0.3">
      <c r="A60" t="s">
        <v>105</v>
      </c>
      <c r="B60" s="1">
        <v>46079</v>
      </c>
      <c r="C60" t="s">
        <v>114</v>
      </c>
      <c r="D60" t="s">
        <v>132</v>
      </c>
      <c r="E60" t="s">
        <v>135</v>
      </c>
      <c r="F60" t="s">
        <v>150</v>
      </c>
      <c r="G60">
        <v>4</v>
      </c>
      <c r="H60">
        <v>250</v>
      </c>
      <c r="I60">
        <v>1000</v>
      </c>
      <c r="J60">
        <v>145.41999999999999</v>
      </c>
      <c r="K60" t="s">
        <v>156</v>
      </c>
      <c r="L60" t="s">
        <v>167</v>
      </c>
      <c r="M60" t="s">
        <v>168</v>
      </c>
      <c r="N60" t="s">
        <v>170</v>
      </c>
      <c r="O60">
        <v>2</v>
      </c>
    </row>
    <row r="61" spans="1:15" x14ac:dyDescent="0.3">
      <c r="A61" t="s">
        <v>106</v>
      </c>
      <c r="B61" s="1">
        <v>46080</v>
      </c>
      <c r="C61" t="s">
        <v>125</v>
      </c>
      <c r="D61" t="s">
        <v>126</v>
      </c>
      <c r="E61" t="s">
        <v>134</v>
      </c>
      <c r="F61" t="s">
        <v>138</v>
      </c>
      <c r="G61">
        <v>2</v>
      </c>
      <c r="H61">
        <v>1500</v>
      </c>
      <c r="I61">
        <v>3000</v>
      </c>
      <c r="J61">
        <v>652.84</v>
      </c>
      <c r="K61" t="s">
        <v>155</v>
      </c>
      <c r="L61" t="s">
        <v>167</v>
      </c>
      <c r="M61" t="s">
        <v>168</v>
      </c>
      <c r="N61" t="s">
        <v>170</v>
      </c>
      <c r="O61">
        <v>2</v>
      </c>
    </row>
    <row r="62" spans="1:15" x14ac:dyDescent="0.3">
      <c r="A62" t="s">
        <v>107</v>
      </c>
      <c r="B62" s="1">
        <v>46081</v>
      </c>
      <c r="C62" t="s">
        <v>121</v>
      </c>
      <c r="D62" t="s">
        <v>131</v>
      </c>
      <c r="E62" t="s">
        <v>137</v>
      </c>
      <c r="F62" t="s">
        <v>147</v>
      </c>
      <c r="G62">
        <v>2</v>
      </c>
      <c r="H62">
        <v>2200</v>
      </c>
      <c r="I62">
        <v>4400</v>
      </c>
      <c r="J62">
        <v>354.59</v>
      </c>
      <c r="K62" t="s">
        <v>156</v>
      </c>
      <c r="L62" t="s">
        <v>167</v>
      </c>
      <c r="M62" t="s">
        <v>168</v>
      </c>
      <c r="N62" t="s">
        <v>170</v>
      </c>
      <c r="O62">
        <v>2</v>
      </c>
    </row>
    <row r="63" spans="1:15" x14ac:dyDescent="0.3">
      <c r="A63" t="s">
        <v>108</v>
      </c>
      <c r="B63" s="1">
        <v>46082</v>
      </c>
      <c r="C63" t="s">
        <v>121</v>
      </c>
      <c r="D63" t="s">
        <v>126</v>
      </c>
      <c r="E63" t="s">
        <v>137</v>
      </c>
      <c r="F63" t="s">
        <v>145</v>
      </c>
      <c r="G63">
        <v>3</v>
      </c>
      <c r="H63">
        <v>3800</v>
      </c>
      <c r="I63">
        <v>11400</v>
      </c>
      <c r="J63">
        <v>2675.09</v>
      </c>
      <c r="K63" t="s">
        <v>155</v>
      </c>
      <c r="L63" t="s">
        <v>167</v>
      </c>
      <c r="M63" t="s">
        <v>168</v>
      </c>
      <c r="N63" t="s">
        <v>171</v>
      </c>
      <c r="O63">
        <v>3</v>
      </c>
    </row>
    <row r="64" spans="1:15" x14ac:dyDescent="0.3">
      <c r="A64" t="s">
        <v>109</v>
      </c>
      <c r="B64" s="1">
        <v>46083</v>
      </c>
      <c r="C64" t="s">
        <v>123</v>
      </c>
      <c r="D64" t="s">
        <v>133</v>
      </c>
      <c r="E64" t="s">
        <v>137</v>
      </c>
      <c r="F64" t="s">
        <v>149</v>
      </c>
      <c r="G64">
        <v>1</v>
      </c>
      <c r="H64">
        <v>7000</v>
      </c>
      <c r="I64">
        <v>7000</v>
      </c>
      <c r="J64">
        <v>1398.63</v>
      </c>
      <c r="K64" t="s">
        <v>156</v>
      </c>
      <c r="L64" t="s">
        <v>167</v>
      </c>
      <c r="M64" t="s">
        <v>168</v>
      </c>
      <c r="N64" t="s">
        <v>171</v>
      </c>
      <c r="O64">
        <v>3</v>
      </c>
    </row>
    <row r="65" spans="1:15" x14ac:dyDescent="0.3">
      <c r="A65" t="s">
        <v>110</v>
      </c>
      <c r="B65" s="1">
        <v>46084</v>
      </c>
      <c r="C65" t="s">
        <v>114</v>
      </c>
      <c r="D65" t="s">
        <v>129</v>
      </c>
      <c r="E65" t="s">
        <v>134</v>
      </c>
      <c r="F65" t="s">
        <v>138</v>
      </c>
      <c r="G65">
        <v>2</v>
      </c>
      <c r="H65">
        <v>1500</v>
      </c>
      <c r="I65">
        <v>3000</v>
      </c>
      <c r="J65">
        <v>763.13</v>
      </c>
      <c r="K65" t="s">
        <v>157</v>
      </c>
      <c r="L65" t="s">
        <v>167</v>
      </c>
      <c r="M65" t="s">
        <v>168</v>
      </c>
      <c r="N65" t="s">
        <v>171</v>
      </c>
      <c r="O65">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D75FA-A354-42EE-9E79-873C3C39A17D}">
  <dimension ref="A3:E63"/>
  <sheetViews>
    <sheetView topLeftCell="A30" zoomScale="70" zoomScaleNormal="100" workbookViewId="0">
      <selection activeCell="C58" sqref="C58"/>
    </sheetView>
  </sheetViews>
  <sheetFormatPr defaultRowHeight="14.4" x14ac:dyDescent="0.3"/>
  <cols>
    <col min="1" max="1" width="13.88671875" bestFit="1" customWidth="1"/>
    <col min="2" max="2" width="11.88671875" bestFit="1" customWidth="1"/>
    <col min="3" max="3" width="13" bestFit="1" customWidth="1"/>
    <col min="4" max="4" width="12.44140625" bestFit="1" customWidth="1"/>
    <col min="5" max="6" width="13.6640625" bestFit="1" customWidth="1"/>
    <col min="7" max="20" width="15.5546875" bestFit="1" customWidth="1"/>
    <col min="21" max="21" width="14.6640625" bestFit="1" customWidth="1"/>
    <col min="22" max="22" width="15.109375" bestFit="1" customWidth="1"/>
    <col min="23" max="23" width="20.33203125" bestFit="1" customWidth="1"/>
    <col min="24" max="24" width="15.109375" bestFit="1" customWidth="1"/>
  </cols>
  <sheetData>
    <row r="3" spans="1:5" x14ac:dyDescent="0.3">
      <c r="A3" t="s">
        <v>161</v>
      </c>
      <c r="B3" t="s">
        <v>162</v>
      </c>
      <c r="C3" t="s">
        <v>163</v>
      </c>
      <c r="D3" t="s">
        <v>164</v>
      </c>
      <c r="E3" t="s">
        <v>165</v>
      </c>
    </row>
    <row r="4" spans="1:5" x14ac:dyDescent="0.3">
      <c r="A4" s="17">
        <v>548560</v>
      </c>
      <c r="B4" s="17">
        <v>113910.97</v>
      </c>
      <c r="C4" s="4">
        <v>100</v>
      </c>
      <c r="D4" s="4">
        <v>308</v>
      </c>
      <c r="E4" s="17">
        <v>5485.6</v>
      </c>
    </row>
    <row r="7" spans="1:5" x14ac:dyDescent="0.3">
      <c r="A7" s="15" t="s">
        <v>158</v>
      </c>
      <c r="B7" t="s">
        <v>160</v>
      </c>
      <c r="C7" t="s">
        <v>172</v>
      </c>
    </row>
    <row r="8" spans="1:5" x14ac:dyDescent="0.3">
      <c r="A8" s="16" t="s">
        <v>169</v>
      </c>
      <c r="B8" s="17">
        <v>35000</v>
      </c>
      <c r="C8" s="17">
        <v>35000</v>
      </c>
    </row>
    <row r="9" spans="1:5" x14ac:dyDescent="0.3">
      <c r="A9" s="16" t="s">
        <v>170</v>
      </c>
      <c r="B9" s="17">
        <v>11400</v>
      </c>
      <c r="C9" s="17">
        <v>11400</v>
      </c>
    </row>
    <row r="10" spans="1:5" x14ac:dyDescent="0.3">
      <c r="A10" s="16" t="s">
        <v>159</v>
      </c>
      <c r="B10" s="17">
        <v>46400</v>
      </c>
      <c r="C10" s="17">
        <v>46400</v>
      </c>
    </row>
    <row r="15" spans="1:5" x14ac:dyDescent="0.3">
      <c r="A15" s="15" t="s">
        <v>158</v>
      </c>
      <c r="B15" t="s">
        <v>160</v>
      </c>
    </row>
    <row r="16" spans="1:5" x14ac:dyDescent="0.3">
      <c r="A16" s="16" t="s">
        <v>167</v>
      </c>
      <c r="B16" s="17">
        <v>46400</v>
      </c>
    </row>
    <row r="17" spans="1:2" x14ac:dyDescent="0.3">
      <c r="A17" s="16" t="s">
        <v>159</v>
      </c>
      <c r="B17" s="17">
        <v>46400</v>
      </c>
    </row>
    <row r="20" spans="1:2" x14ac:dyDescent="0.3">
      <c r="A20" s="15" t="s">
        <v>158</v>
      </c>
      <c r="B20" t="s">
        <v>160</v>
      </c>
    </row>
    <row r="21" spans="1:2" x14ac:dyDescent="0.3">
      <c r="A21" s="16" t="s">
        <v>166</v>
      </c>
      <c r="B21" s="17">
        <v>109000</v>
      </c>
    </row>
    <row r="22" spans="1:2" x14ac:dyDescent="0.3">
      <c r="A22" s="16" t="s">
        <v>167</v>
      </c>
      <c r="B22" s="17">
        <v>194000</v>
      </c>
    </row>
    <row r="25" spans="1:2" x14ac:dyDescent="0.3">
      <c r="A25" s="15" t="s">
        <v>158</v>
      </c>
      <c r="B25" t="s">
        <v>160</v>
      </c>
    </row>
    <row r="26" spans="1:2" x14ac:dyDescent="0.3">
      <c r="A26" s="16" t="s">
        <v>168</v>
      </c>
      <c r="B26" s="17">
        <v>46400</v>
      </c>
    </row>
    <row r="27" spans="1:2" x14ac:dyDescent="0.3">
      <c r="A27" s="16" t="s">
        <v>159</v>
      </c>
      <c r="B27" s="21">
        <v>46400</v>
      </c>
    </row>
    <row r="30" spans="1:2" x14ac:dyDescent="0.3">
      <c r="A30" s="15" t="s">
        <v>158</v>
      </c>
      <c r="B30" t="s">
        <v>160</v>
      </c>
    </row>
    <row r="31" spans="1:2" x14ac:dyDescent="0.3">
      <c r="A31" s="16" t="s">
        <v>131</v>
      </c>
      <c r="B31" s="17">
        <v>46400</v>
      </c>
    </row>
    <row r="32" spans="1:2" x14ac:dyDescent="0.3">
      <c r="A32" s="16" t="s">
        <v>159</v>
      </c>
      <c r="B32" s="17">
        <v>46400</v>
      </c>
    </row>
    <row r="41" spans="1:5" x14ac:dyDescent="0.3">
      <c r="A41" s="15" t="s">
        <v>158</v>
      </c>
      <c r="B41" t="s">
        <v>160</v>
      </c>
    </row>
    <row r="42" spans="1:5" x14ac:dyDescent="0.3">
      <c r="A42" s="16" t="s">
        <v>137</v>
      </c>
      <c r="B42" s="17">
        <v>46400</v>
      </c>
    </row>
    <row r="43" spans="1:5" x14ac:dyDescent="0.3">
      <c r="A43" s="16" t="s">
        <v>159</v>
      </c>
      <c r="B43" s="17">
        <v>46400</v>
      </c>
    </row>
    <row r="46" spans="1:5" x14ac:dyDescent="0.3">
      <c r="C46" s="6"/>
      <c r="D46" s="7"/>
      <c r="E46" s="8"/>
    </row>
    <row r="47" spans="1:5" x14ac:dyDescent="0.3">
      <c r="C47" s="9"/>
      <c r="D47" s="10"/>
      <c r="E47" s="11"/>
    </row>
    <row r="48" spans="1:5" x14ac:dyDescent="0.3">
      <c r="A48" s="15" t="s">
        <v>158</v>
      </c>
      <c r="B48" t="s">
        <v>160</v>
      </c>
      <c r="C48" s="9"/>
      <c r="D48" s="10"/>
      <c r="E48" s="11"/>
    </row>
    <row r="49" spans="1:5" x14ac:dyDescent="0.3">
      <c r="A49" s="16" t="s">
        <v>157</v>
      </c>
      <c r="B49" s="17">
        <v>35000</v>
      </c>
      <c r="C49" s="9"/>
      <c r="D49" s="10"/>
      <c r="E49" s="11"/>
    </row>
    <row r="50" spans="1:5" x14ac:dyDescent="0.3">
      <c r="A50" s="16" t="s">
        <v>156</v>
      </c>
      <c r="B50" s="17">
        <v>11400</v>
      </c>
      <c r="C50" s="9"/>
      <c r="D50" s="10"/>
      <c r="E50" s="11"/>
    </row>
    <row r="51" spans="1:5" x14ac:dyDescent="0.3">
      <c r="A51" s="16" t="s">
        <v>159</v>
      </c>
      <c r="B51" s="17">
        <v>46400</v>
      </c>
      <c r="C51" s="9"/>
      <c r="D51" s="10"/>
      <c r="E51" s="11"/>
    </row>
    <row r="52" spans="1:5" x14ac:dyDescent="0.3">
      <c r="C52" s="9"/>
      <c r="D52" s="10"/>
      <c r="E52" s="11"/>
    </row>
    <row r="53" spans="1:5" x14ac:dyDescent="0.3">
      <c r="C53" s="9"/>
      <c r="D53" s="10"/>
      <c r="E53" s="11"/>
    </row>
    <row r="54" spans="1:5" x14ac:dyDescent="0.3">
      <c r="C54" s="9"/>
      <c r="D54" s="10"/>
      <c r="E54" s="11"/>
    </row>
    <row r="55" spans="1:5" x14ac:dyDescent="0.3">
      <c r="C55" s="9"/>
      <c r="D55" s="10"/>
      <c r="E55" s="11"/>
    </row>
    <row r="56" spans="1:5" x14ac:dyDescent="0.3">
      <c r="A56" s="15" t="s">
        <v>158</v>
      </c>
      <c r="B56" t="s">
        <v>160</v>
      </c>
      <c r="C56" s="9"/>
      <c r="D56" s="10"/>
      <c r="E56" s="11"/>
    </row>
    <row r="57" spans="1:5" x14ac:dyDescent="0.3">
      <c r="A57" s="16" t="s">
        <v>149</v>
      </c>
      <c r="B57" s="17">
        <v>42000</v>
      </c>
      <c r="C57" s="9"/>
      <c r="D57" s="10"/>
      <c r="E57" s="11"/>
    </row>
    <row r="58" spans="1:5" x14ac:dyDescent="0.3">
      <c r="A58" s="16" t="s">
        <v>147</v>
      </c>
      <c r="B58" s="17">
        <v>4400</v>
      </c>
      <c r="C58" s="9"/>
      <c r="D58" s="10"/>
      <c r="E58" s="11"/>
    </row>
    <row r="59" spans="1:5" x14ac:dyDescent="0.3">
      <c r="A59" s="16" t="s">
        <v>159</v>
      </c>
      <c r="B59" s="17">
        <v>46400</v>
      </c>
      <c r="C59" s="9"/>
      <c r="D59" s="10"/>
      <c r="E59" s="11"/>
    </row>
    <row r="60" spans="1:5" x14ac:dyDescent="0.3">
      <c r="C60" s="9"/>
      <c r="D60" s="10"/>
      <c r="E60" s="11"/>
    </row>
    <row r="61" spans="1:5" x14ac:dyDescent="0.3">
      <c r="C61" s="9"/>
      <c r="D61" s="10"/>
      <c r="E61" s="11"/>
    </row>
    <row r="62" spans="1:5" x14ac:dyDescent="0.3">
      <c r="C62" s="9"/>
      <c r="D62" s="10"/>
      <c r="E62" s="11"/>
    </row>
    <row r="63" spans="1:5" x14ac:dyDescent="0.3">
      <c r="C63" s="12"/>
      <c r="D63" s="13"/>
      <c r="E63" s="14"/>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88EC9-D474-466D-BE0A-8C141CB9D9D6}">
  <dimension ref="A1:BB50"/>
  <sheetViews>
    <sheetView tabSelected="1" zoomScale="66" workbookViewId="0">
      <selection activeCell="AP34" sqref="AP34"/>
    </sheetView>
  </sheetViews>
  <sheetFormatPr defaultRowHeight="14.4" x14ac:dyDescent="0.3"/>
  <cols>
    <col min="1" max="1" width="3.77734375" customWidth="1"/>
    <col min="2" max="2" width="4.88671875" customWidth="1"/>
  </cols>
  <sheetData>
    <row r="1" spans="1:54" x14ac:dyDescent="0.3">
      <c r="A1" s="19"/>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row>
    <row r="2" spans="1:54" x14ac:dyDescent="0.3">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row>
    <row r="3" spans="1:54" x14ac:dyDescent="0.3">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row>
    <row r="4" spans="1:54" x14ac:dyDescent="0.3">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row>
    <row r="5" spans="1:54" x14ac:dyDescent="0.3">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row>
    <row r="6" spans="1:54" x14ac:dyDescent="0.3">
      <c r="A6" s="19"/>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row>
    <row r="7" spans="1:54" x14ac:dyDescent="0.3">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row>
    <row r="8" spans="1:54" x14ac:dyDescent="0.3">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row>
    <row r="9" spans="1:54" x14ac:dyDescent="0.3">
      <c r="A9" s="19"/>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row>
    <row r="10" spans="1:54" x14ac:dyDescent="0.3">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row>
    <row r="11" spans="1:54" x14ac:dyDescent="0.3">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row>
    <row r="12" spans="1:54" x14ac:dyDescent="0.3">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row>
    <row r="13" spans="1:54" x14ac:dyDescent="0.3">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row>
    <row r="14" spans="1:54" x14ac:dyDescent="0.3">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row>
    <row r="15" spans="1:54"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row>
    <row r="16" spans="1:54" x14ac:dyDescent="0.3">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row>
    <row r="17" spans="1:54" x14ac:dyDescent="0.3">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row>
    <row r="18" spans="1:54" x14ac:dyDescent="0.3">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row>
    <row r="19" spans="1:54" x14ac:dyDescent="0.3">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row>
    <row r="20" spans="1:54" x14ac:dyDescent="0.3">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row>
    <row r="21" spans="1:54" x14ac:dyDescent="0.3">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row>
    <row r="22" spans="1:54" x14ac:dyDescent="0.3">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row>
    <row r="23" spans="1:54" x14ac:dyDescent="0.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row>
    <row r="24" spans="1:54"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row>
    <row r="25" spans="1:54"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row>
    <row r="26" spans="1:54"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row>
    <row r="27" spans="1:54"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row>
    <row r="28" spans="1:54"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row>
    <row r="29" spans="1:54"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row>
    <row r="30" spans="1:54"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row>
    <row r="31" spans="1:54"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row>
    <row r="32" spans="1:54"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row>
    <row r="33" spans="1:54"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row>
    <row r="34" spans="1:54"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row>
    <row r="35" spans="1:54"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row>
    <row r="36" spans="1:54"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row>
    <row r="37" spans="1:54"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row>
    <row r="38" spans="1:54"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row>
    <row r="39" spans="1:54"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row>
    <row r="40" spans="1:54"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row>
    <row r="41" spans="1:54"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row>
    <row r="42" spans="1:54"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row>
    <row r="43" spans="1:54"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row>
    <row r="44" spans="1:54"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row>
    <row r="45" spans="1:54"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row>
    <row r="46" spans="1:54"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row>
    <row r="47" spans="1:54"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row>
    <row r="48" spans="1:54"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row>
    <row r="49" spans="1:54"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row>
    <row r="50" spans="1:54"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3"/>
  <sheetViews>
    <sheetView topLeftCell="A28" workbookViewId="0">
      <selection activeCell="I41" sqref="I41"/>
    </sheetView>
  </sheetViews>
  <sheetFormatPr defaultRowHeight="14.4" x14ac:dyDescent="0.3"/>
  <cols>
    <col min="1" max="1" width="9.88671875" customWidth="1"/>
    <col min="2" max="2" width="12.44140625" customWidth="1"/>
    <col min="3" max="3" width="11" customWidth="1"/>
    <col min="5" max="5" width="10.44140625" customWidth="1"/>
    <col min="6" max="6" width="12.44140625" customWidth="1"/>
    <col min="7" max="7" width="10.21875" customWidth="1"/>
    <col min="8" max="8" width="11" customWidth="1"/>
    <col min="9" max="9" width="11.33203125" bestFit="1" customWidth="1"/>
    <col min="10" max="10" width="9.77734375" customWidth="1"/>
    <col min="11" max="11" width="17.6640625" customWidth="1"/>
  </cols>
  <sheetData>
    <row r="1" spans="1:11" x14ac:dyDescent="0.3">
      <c r="A1" s="18"/>
      <c r="B1" s="18"/>
      <c r="C1" s="18"/>
      <c r="D1" s="18"/>
      <c r="E1" s="18"/>
      <c r="F1" s="18"/>
      <c r="G1" s="18"/>
      <c r="H1" s="18"/>
      <c r="I1" s="18"/>
      <c r="J1" s="18"/>
      <c r="K1" s="18"/>
    </row>
    <row r="2" spans="1:11" x14ac:dyDescent="0.3">
      <c r="A2" s="18"/>
      <c r="B2" s="18"/>
      <c r="C2" s="18"/>
      <c r="D2" s="18"/>
      <c r="E2" s="18"/>
      <c r="F2" s="18"/>
      <c r="G2" s="18"/>
      <c r="H2" s="18"/>
      <c r="I2" s="18"/>
      <c r="J2" s="18"/>
      <c r="K2" s="18"/>
    </row>
    <row r="3" spans="1:11" x14ac:dyDescent="0.3">
      <c r="A3" s="2" t="s">
        <v>0</v>
      </c>
      <c r="B3" s="2" t="s">
        <v>1</v>
      </c>
      <c r="C3" s="2" t="s">
        <v>2</v>
      </c>
      <c r="D3" s="2" t="s">
        <v>3</v>
      </c>
      <c r="E3" s="2" t="s">
        <v>4</v>
      </c>
      <c r="F3" s="2" t="s">
        <v>5</v>
      </c>
      <c r="G3" s="2" t="s">
        <v>6</v>
      </c>
      <c r="H3" s="2" t="s">
        <v>7</v>
      </c>
      <c r="I3" s="2" t="s">
        <v>8</v>
      </c>
      <c r="J3" s="2" t="s">
        <v>9</v>
      </c>
      <c r="K3" s="2" t="s">
        <v>10</v>
      </c>
    </row>
    <row r="4" spans="1:11" x14ac:dyDescent="0.3">
      <c r="A4" t="s">
        <v>11</v>
      </c>
      <c r="B4" s="1">
        <v>45985</v>
      </c>
      <c r="C4" t="s">
        <v>111</v>
      </c>
      <c r="D4" t="s">
        <v>126</v>
      </c>
      <c r="E4" t="s">
        <v>134</v>
      </c>
      <c r="F4" t="s">
        <v>138</v>
      </c>
      <c r="G4">
        <v>3</v>
      </c>
      <c r="H4">
        <v>1500</v>
      </c>
      <c r="I4" s="3">
        <v>4500</v>
      </c>
      <c r="J4" s="5">
        <v>602.44000000000005</v>
      </c>
      <c r="K4" t="s">
        <v>154</v>
      </c>
    </row>
    <row r="5" spans="1:11" x14ac:dyDescent="0.3">
      <c r="A5" t="s">
        <v>12</v>
      </c>
      <c r="B5" s="1">
        <v>45986</v>
      </c>
      <c r="C5" t="s">
        <v>112</v>
      </c>
      <c r="D5" t="s">
        <v>127</v>
      </c>
      <c r="E5" t="s">
        <v>135</v>
      </c>
      <c r="F5" t="s">
        <v>139</v>
      </c>
      <c r="G5">
        <v>1</v>
      </c>
      <c r="H5">
        <v>700</v>
      </c>
      <c r="I5" s="3">
        <v>700</v>
      </c>
      <c r="J5" s="5">
        <v>70.430000000000007</v>
      </c>
      <c r="K5" t="s">
        <v>155</v>
      </c>
    </row>
    <row r="6" spans="1:11" x14ac:dyDescent="0.3">
      <c r="A6" t="s">
        <v>13</v>
      </c>
      <c r="B6" s="1">
        <v>45987</v>
      </c>
      <c r="C6" t="s">
        <v>113</v>
      </c>
      <c r="D6" t="s">
        <v>127</v>
      </c>
      <c r="E6" t="s">
        <v>135</v>
      </c>
      <c r="F6" t="s">
        <v>140</v>
      </c>
      <c r="G6">
        <v>4</v>
      </c>
      <c r="H6">
        <v>180</v>
      </c>
      <c r="I6" s="3">
        <v>720</v>
      </c>
      <c r="J6" s="5">
        <v>150.94</v>
      </c>
      <c r="K6" t="s">
        <v>155</v>
      </c>
    </row>
    <row r="7" spans="1:11" x14ac:dyDescent="0.3">
      <c r="A7" t="s">
        <v>14</v>
      </c>
      <c r="B7" s="1">
        <v>45988</v>
      </c>
      <c r="C7" t="s">
        <v>113</v>
      </c>
      <c r="D7" t="s">
        <v>128</v>
      </c>
      <c r="E7" t="s">
        <v>135</v>
      </c>
      <c r="F7" t="s">
        <v>141</v>
      </c>
      <c r="G7">
        <v>3</v>
      </c>
      <c r="H7">
        <v>80</v>
      </c>
      <c r="I7" s="3">
        <v>240</v>
      </c>
      <c r="J7" s="5">
        <v>27.41</v>
      </c>
      <c r="K7" t="s">
        <v>154</v>
      </c>
    </row>
    <row r="8" spans="1:11" x14ac:dyDescent="0.3">
      <c r="A8" t="s">
        <v>15</v>
      </c>
      <c r="B8" s="1">
        <v>45989</v>
      </c>
      <c r="C8" t="s">
        <v>114</v>
      </c>
      <c r="D8" t="s">
        <v>129</v>
      </c>
      <c r="E8" t="s">
        <v>135</v>
      </c>
      <c r="F8" t="s">
        <v>139</v>
      </c>
      <c r="G8">
        <v>3</v>
      </c>
      <c r="H8">
        <v>700</v>
      </c>
      <c r="I8" s="3">
        <v>2100</v>
      </c>
      <c r="J8" s="5">
        <v>559.54</v>
      </c>
      <c r="K8" t="s">
        <v>154</v>
      </c>
    </row>
    <row r="9" spans="1:11" x14ac:dyDescent="0.3">
      <c r="A9" t="s">
        <v>16</v>
      </c>
      <c r="B9" s="1">
        <v>45990</v>
      </c>
      <c r="C9" t="s">
        <v>115</v>
      </c>
      <c r="D9" t="s">
        <v>128</v>
      </c>
      <c r="E9" t="s">
        <v>134</v>
      </c>
      <c r="F9" t="s">
        <v>142</v>
      </c>
      <c r="G9">
        <v>1</v>
      </c>
      <c r="H9">
        <v>2500</v>
      </c>
      <c r="I9" s="3">
        <v>2500</v>
      </c>
      <c r="J9" s="5">
        <v>503.62</v>
      </c>
      <c r="K9" t="s">
        <v>155</v>
      </c>
    </row>
    <row r="10" spans="1:11" x14ac:dyDescent="0.3">
      <c r="A10" t="s">
        <v>17</v>
      </c>
      <c r="B10" s="1">
        <v>45991</v>
      </c>
      <c r="C10" t="s">
        <v>116</v>
      </c>
      <c r="D10" t="s">
        <v>130</v>
      </c>
      <c r="E10" t="s">
        <v>134</v>
      </c>
      <c r="F10" t="s">
        <v>138</v>
      </c>
      <c r="G10">
        <v>2</v>
      </c>
      <c r="H10">
        <v>1500</v>
      </c>
      <c r="I10" s="3">
        <v>3000</v>
      </c>
      <c r="J10" s="5">
        <v>750.23</v>
      </c>
      <c r="K10" t="s">
        <v>154</v>
      </c>
    </row>
    <row r="11" spans="1:11" x14ac:dyDescent="0.3">
      <c r="A11" t="s">
        <v>18</v>
      </c>
      <c r="B11" s="1">
        <v>45992</v>
      </c>
      <c r="C11" t="s">
        <v>117</v>
      </c>
      <c r="D11" t="s">
        <v>130</v>
      </c>
      <c r="E11" t="s">
        <v>136</v>
      </c>
      <c r="F11" t="s">
        <v>143</v>
      </c>
      <c r="G11">
        <v>3</v>
      </c>
      <c r="H11">
        <v>2200</v>
      </c>
      <c r="I11" s="3">
        <v>6600</v>
      </c>
      <c r="J11" s="5">
        <v>764.17</v>
      </c>
      <c r="K11" t="s">
        <v>156</v>
      </c>
    </row>
    <row r="12" spans="1:11" x14ac:dyDescent="0.3">
      <c r="A12" t="s">
        <v>19</v>
      </c>
      <c r="B12" s="1">
        <v>45993</v>
      </c>
      <c r="C12" t="s">
        <v>111</v>
      </c>
      <c r="D12" t="s">
        <v>131</v>
      </c>
      <c r="E12" t="s">
        <v>134</v>
      </c>
      <c r="F12" t="s">
        <v>144</v>
      </c>
      <c r="G12">
        <v>5</v>
      </c>
      <c r="H12">
        <v>900</v>
      </c>
      <c r="I12" s="3">
        <v>4500</v>
      </c>
      <c r="J12" s="5">
        <v>1081.8399999999999</v>
      </c>
      <c r="K12" t="s">
        <v>157</v>
      </c>
    </row>
    <row r="13" spans="1:11" x14ac:dyDescent="0.3">
      <c r="A13" t="s">
        <v>20</v>
      </c>
      <c r="B13" s="1">
        <v>45994</v>
      </c>
      <c r="C13" t="s">
        <v>118</v>
      </c>
      <c r="D13" t="s">
        <v>128</v>
      </c>
      <c r="E13" t="s">
        <v>137</v>
      </c>
      <c r="F13" t="s">
        <v>145</v>
      </c>
      <c r="G13">
        <v>1</v>
      </c>
      <c r="H13">
        <v>3800</v>
      </c>
      <c r="I13" s="3">
        <v>3800</v>
      </c>
      <c r="J13" s="5">
        <v>495.48</v>
      </c>
      <c r="K13" t="s">
        <v>157</v>
      </c>
    </row>
    <row r="14" spans="1:11" x14ac:dyDescent="0.3">
      <c r="A14" t="s">
        <v>21</v>
      </c>
      <c r="B14" s="1">
        <v>45995</v>
      </c>
      <c r="C14" t="s">
        <v>117</v>
      </c>
      <c r="D14" t="s">
        <v>130</v>
      </c>
      <c r="E14" t="s">
        <v>134</v>
      </c>
      <c r="F14" t="s">
        <v>144</v>
      </c>
      <c r="G14">
        <v>5</v>
      </c>
      <c r="H14">
        <v>900</v>
      </c>
      <c r="I14" s="3">
        <v>4500</v>
      </c>
      <c r="J14" s="5">
        <v>1227.5999999999999</v>
      </c>
      <c r="K14" t="s">
        <v>157</v>
      </c>
    </row>
    <row r="15" spans="1:11" x14ac:dyDescent="0.3">
      <c r="A15" t="s">
        <v>22</v>
      </c>
      <c r="B15" s="1">
        <v>45996</v>
      </c>
      <c r="C15" t="s">
        <v>119</v>
      </c>
      <c r="D15" t="s">
        <v>129</v>
      </c>
      <c r="E15" t="s">
        <v>135</v>
      </c>
      <c r="F15" t="s">
        <v>140</v>
      </c>
      <c r="G15">
        <v>3</v>
      </c>
      <c r="H15">
        <v>180</v>
      </c>
      <c r="I15" s="3">
        <v>540</v>
      </c>
      <c r="J15" s="5">
        <v>59.79</v>
      </c>
      <c r="K15" t="s">
        <v>157</v>
      </c>
    </row>
    <row r="16" spans="1:11" x14ac:dyDescent="0.3">
      <c r="A16" t="s">
        <v>23</v>
      </c>
      <c r="B16" s="1">
        <v>45997</v>
      </c>
      <c r="C16" t="s">
        <v>111</v>
      </c>
      <c r="D16" t="s">
        <v>131</v>
      </c>
      <c r="E16" t="s">
        <v>135</v>
      </c>
      <c r="F16" t="s">
        <v>141</v>
      </c>
      <c r="G16">
        <v>2</v>
      </c>
      <c r="H16">
        <v>80</v>
      </c>
      <c r="I16" s="3">
        <v>160</v>
      </c>
      <c r="J16" s="5">
        <v>47.91</v>
      </c>
      <c r="K16" t="s">
        <v>154</v>
      </c>
    </row>
    <row r="17" spans="1:11" x14ac:dyDescent="0.3">
      <c r="A17" t="s">
        <v>24</v>
      </c>
      <c r="B17" s="1">
        <v>45998</v>
      </c>
      <c r="C17" t="s">
        <v>120</v>
      </c>
      <c r="D17" t="s">
        <v>126</v>
      </c>
      <c r="E17" t="s">
        <v>134</v>
      </c>
      <c r="F17" t="s">
        <v>144</v>
      </c>
      <c r="G17">
        <v>2</v>
      </c>
      <c r="H17">
        <v>900</v>
      </c>
      <c r="I17" s="3">
        <v>1800</v>
      </c>
      <c r="J17" s="5">
        <v>457.66</v>
      </c>
      <c r="K17" t="s">
        <v>157</v>
      </c>
    </row>
    <row r="18" spans="1:11" x14ac:dyDescent="0.3">
      <c r="A18" t="s">
        <v>25</v>
      </c>
      <c r="B18" s="1">
        <v>45999</v>
      </c>
      <c r="C18" t="s">
        <v>118</v>
      </c>
      <c r="D18" t="s">
        <v>126</v>
      </c>
      <c r="E18" t="s">
        <v>135</v>
      </c>
      <c r="F18" t="s">
        <v>141</v>
      </c>
      <c r="G18">
        <v>5</v>
      </c>
      <c r="H18">
        <v>80</v>
      </c>
      <c r="I18" s="3">
        <v>400</v>
      </c>
      <c r="J18" s="5">
        <v>107.75</v>
      </c>
      <c r="K18" t="s">
        <v>156</v>
      </c>
    </row>
    <row r="19" spans="1:11" x14ac:dyDescent="0.3">
      <c r="A19" t="s">
        <v>26</v>
      </c>
      <c r="B19" s="1">
        <v>46000</v>
      </c>
      <c r="C19" t="s">
        <v>121</v>
      </c>
      <c r="D19" t="s">
        <v>127</v>
      </c>
      <c r="E19" t="s">
        <v>136</v>
      </c>
      <c r="F19" t="s">
        <v>146</v>
      </c>
      <c r="G19">
        <v>3</v>
      </c>
      <c r="H19">
        <v>900</v>
      </c>
      <c r="I19" s="3">
        <v>2700</v>
      </c>
      <c r="J19" s="5">
        <v>474.25</v>
      </c>
      <c r="K19" t="s">
        <v>156</v>
      </c>
    </row>
    <row r="20" spans="1:11" x14ac:dyDescent="0.3">
      <c r="A20" t="s">
        <v>27</v>
      </c>
      <c r="B20" s="1">
        <v>46001</v>
      </c>
      <c r="C20" t="s">
        <v>122</v>
      </c>
      <c r="D20" t="s">
        <v>130</v>
      </c>
      <c r="E20" t="s">
        <v>137</v>
      </c>
      <c r="F20" t="s">
        <v>147</v>
      </c>
      <c r="G20">
        <v>3</v>
      </c>
      <c r="H20">
        <v>2200</v>
      </c>
      <c r="I20" s="3">
        <v>6600</v>
      </c>
      <c r="J20" s="5">
        <v>1750.1</v>
      </c>
      <c r="K20" t="s">
        <v>155</v>
      </c>
    </row>
    <row r="21" spans="1:11" x14ac:dyDescent="0.3">
      <c r="A21" t="s">
        <v>28</v>
      </c>
      <c r="B21" s="1">
        <v>46002</v>
      </c>
      <c r="C21" t="s">
        <v>118</v>
      </c>
      <c r="D21" t="s">
        <v>126</v>
      </c>
      <c r="E21" t="s">
        <v>137</v>
      </c>
      <c r="F21" t="s">
        <v>147</v>
      </c>
      <c r="G21">
        <v>5</v>
      </c>
      <c r="H21">
        <v>2200</v>
      </c>
      <c r="I21" s="3">
        <v>11000</v>
      </c>
      <c r="J21" s="5">
        <v>1664.46</v>
      </c>
      <c r="K21" t="s">
        <v>156</v>
      </c>
    </row>
    <row r="22" spans="1:11" x14ac:dyDescent="0.3">
      <c r="A22" t="s">
        <v>29</v>
      </c>
      <c r="B22" s="1">
        <v>46003</v>
      </c>
      <c r="C22" t="s">
        <v>116</v>
      </c>
      <c r="D22" t="s">
        <v>126</v>
      </c>
      <c r="E22" t="s">
        <v>137</v>
      </c>
      <c r="F22" t="s">
        <v>147</v>
      </c>
      <c r="G22">
        <v>2</v>
      </c>
      <c r="H22">
        <v>2200</v>
      </c>
      <c r="I22" s="3">
        <v>4400</v>
      </c>
      <c r="J22" s="5">
        <v>1201.9100000000001</v>
      </c>
      <c r="K22" t="s">
        <v>157</v>
      </c>
    </row>
    <row r="23" spans="1:11" x14ac:dyDescent="0.3">
      <c r="A23" t="s">
        <v>30</v>
      </c>
      <c r="B23" s="1">
        <v>46004</v>
      </c>
      <c r="C23" t="s">
        <v>111</v>
      </c>
      <c r="D23" t="s">
        <v>129</v>
      </c>
      <c r="E23" t="s">
        <v>137</v>
      </c>
      <c r="F23" t="s">
        <v>148</v>
      </c>
      <c r="G23">
        <v>4</v>
      </c>
      <c r="H23">
        <v>4500</v>
      </c>
      <c r="I23" s="3">
        <v>18000</v>
      </c>
      <c r="J23" s="5">
        <v>5189.5200000000004</v>
      </c>
      <c r="K23" t="s">
        <v>157</v>
      </c>
    </row>
    <row r="24" spans="1:11" x14ac:dyDescent="0.3">
      <c r="A24" t="s">
        <v>31</v>
      </c>
      <c r="B24" s="1">
        <v>46005</v>
      </c>
      <c r="C24" t="s">
        <v>123</v>
      </c>
      <c r="D24" t="s">
        <v>128</v>
      </c>
      <c r="E24" t="s">
        <v>137</v>
      </c>
      <c r="F24" t="s">
        <v>145</v>
      </c>
      <c r="G24">
        <v>4</v>
      </c>
      <c r="H24">
        <v>3800</v>
      </c>
      <c r="I24" s="3">
        <v>15200</v>
      </c>
      <c r="J24" s="5">
        <v>4543.78</v>
      </c>
      <c r="K24" t="s">
        <v>157</v>
      </c>
    </row>
    <row r="25" spans="1:11" x14ac:dyDescent="0.3">
      <c r="A25" t="s">
        <v>32</v>
      </c>
      <c r="B25" s="1">
        <v>46006</v>
      </c>
      <c r="C25" t="s">
        <v>117</v>
      </c>
      <c r="D25" t="s">
        <v>127</v>
      </c>
      <c r="E25" t="s">
        <v>135</v>
      </c>
      <c r="F25" t="s">
        <v>139</v>
      </c>
      <c r="G25">
        <v>2</v>
      </c>
      <c r="H25">
        <v>700</v>
      </c>
      <c r="I25" s="3">
        <v>1400</v>
      </c>
      <c r="J25" s="5">
        <v>181.21</v>
      </c>
      <c r="K25" t="s">
        <v>155</v>
      </c>
    </row>
    <row r="26" spans="1:11" x14ac:dyDescent="0.3">
      <c r="A26" t="s">
        <v>33</v>
      </c>
      <c r="B26" s="1">
        <v>46007</v>
      </c>
      <c r="C26" t="s">
        <v>118</v>
      </c>
      <c r="D26" t="s">
        <v>130</v>
      </c>
      <c r="E26" t="s">
        <v>137</v>
      </c>
      <c r="F26" t="s">
        <v>147</v>
      </c>
      <c r="G26">
        <v>1</v>
      </c>
      <c r="H26">
        <v>2200</v>
      </c>
      <c r="I26" s="3">
        <v>2200</v>
      </c>
      <c r="J26" s="5">
        <v>518.6</v>
      </c>
      <c r="K26" t="s">
        <v>154</v>
      </c>
    </row>
    <row r="27" spans="1:11" x14ac:dyDescent="0.3">
      <c r="A27" t="s">
        <v>34</v>
      </c>
      <c r="B27" s="1">
        <v>46008</v>
      </c>
      <c r="C27" t="s">
        <v>123</v>
      </c>
      <c r="D27" t="s">
        <v>131</v>
      </c>
      <c r="E27" t="s">
        <v>136</v>
      </c>
      <c r="F27" t="s">
        <v>146</v>
      </c>
      <c r="G27">
        <v>5</v>
      </c>
      <c r="H27">
        <v>900</v>
      </c>
      <c r="I27" s="3">
        <v>4500</v>
      </c>
      <c r="J27" s="5">
        <v>595.62</v>
      </c>
      <c r="K27" t="s">
        <v>155</v>
      </c>
    </row>
    <row r="28" spans="1:11" x14ac:dyDescent="0.3">
      <c r="A28" t="s">
        <v>35</v>
      </c>
      <c r="B28" s="1">
        <v>46009</v>
      </c>
      <c r="C28" t="s">
        <v>113</v>
      </c>
      <c r="D28" t="s">
        <v>132</v>
      </c>
      <c r="E28" t="s">
        <v>137</v>
      </c>
      <c r="F28" t="s">
        <v>149</v>
      </c>
      <c r="G28">
        <v>2</v>
      </c>
      <c r="H28">
        <v>7000</v>
      </c>
      <c r="I28" s="3">
        <v>14000</v>
      </c>
      <c r="J28" s="5">
        <v>3536.63</v>
      </c>
      <c r="K28" t="s">
        <v>155</v>
      </c>
    </row>
    <row r="29" spans="1:11" x14ac:dyDescent="0.3">
      <c r="A29" t="s">
        <v>36</v>
      </c>
      <c r="B29" s="1">
        <v>46010</v>
      </c>
      <c r="C29" t="s">
        <v>121</v>
      </c>
      <c r="D29" t="s">
        <v>127</v>
      </c>
      <c r="E29" t="s">
        <v>134</v>
      </c>
      <c r="F29" t="s">
        <v>142</v>
      </c>
      <c r="G29">
        <v>3</v>
      </c>
      <c r="H29">
        <v>2500</v>
      </c>
      <c r="I29" s="3">
        <v>7500</v>
      </c>
      <c r="J29" s="5">
        <v>1298.9000000000001</v>
      </c>
      <c r="K29" t="s">
        <v>154</v>
      </c>
    </row>
    <row r="30" spans="1:11" x14ac:dyDescent="0.3">
      <c r="A30" t="s">
        <v>37</v>
      </c>
      <c r="B30" s="1">
        <v>46011</v>
      </c>
      <c r="C30" t="s">
        <v>112</v>
      </c>
      <c r="D30" t="s">
        <v>131</v>
      </c>
      <c r="E30" t="s">
        <v>135</v>
      </c>
      <c r="F30" t="s">
        <v>141</v>
      </c>
      <c r="G30">
        <v>1</v>
      </c>
      <c r="H30">
        <v>80</v>
      </c>
      <c r="I30" s="3">
        <v>80</v>
      </c>
      <c r="J30" s="5">
        <v>10.78</v>
      </c>
      <c r="K30" t="s">
        <v>155</v>
      </c>
    </row>
    <row r="31" spans="1:11" x14ac:dyDescent="0.3">
      <c r="A31" t="s">
        <v>38</v>
      </c>
      <c r="B31" s="1">
        <v>46012</v>
      </c>
      <c r="C31" t="s">
        <v>124</v>
      </c>
      <c r="D31" t="s">
        <v>126</v>
      </c>
      <c r="E31" t="s">
        <v>137</v>
      </c>
      <c r="F31" t="s">
        <v>145</v>
      </c>
      <c r="G31">
        <v>4</v>
      </c>
      <c r="H31">
        <v>3800</v>
      </c>
      <c r="I31" s="3">
        <v>15200</v>
      </c>
      <c r="J31" s="5">
        <v>2051.35</v>
      </c>
      <c r="K31" t="s">
        <v>157</v>
      </c>
    </row>
    <row r="32" spans="1:11" x14ac:dyDescent="0.3">
      <c r="A32" t="s">
        <v>39</v>
      </c>
      <c r="B32" s="1">
        <v>46013</v>
      </c>
      <c r="C32" t="s">
        <v>116</v>
      </c>
      <c r="D32" t="s">
        <v>130</v>
      </c>
      <c r="E32" t="s">
        <v>134</v>
      </c>
      <c r="F32" t="s">
        <v>138</v>
      </c>
      <c r="G32">
        <v>5</v>
      </c>
      <c r="H32">
        <v>1500</v>
      </c>
      <c r="I32" s="3">
        <v>7500</v>
      </c>
      <c r="J32" s="5">
        <v>1979.45</v>
      </c>
      <c r="K32" t="s">
        <v>155</v>
      </c>
    </row>
    <row r="33" spans="1:11" x14ac:dyDescent="0.3">
      <c r="A33" t="s">
        <v>40</v>
      </c>
      <c r="B33" s="1">
        <v>46014</v>
      </c>
      <c r="C33" t="s">
        <v>124</v>
      </c>
      <c r="D33" t="s">
        <v>127</v>
      </c>
      <c r="E33" t="s">
        <v>135</v>
      </c>
      <c r="F33" t="s">
        <v>150</v>
      </c>
      <c r="G33">
        <v>2</v>
      </c>
      <c r="H33">
        <v>250</v>
      </c>
      <c r="I33" s="3">
        <v>500</v>
      </c>
      <c r="J33" s="5">
        <v>135.11000000000001</v>
      </c>
      <c r="K33" t="s">
        <v>155</v>
      </c>
    </row>
    <row r="34" spans="1:11" x14ac:dyDescent="0.3">
      <c r="A34" t="s">
        <v>41</v>
      </c>
      <c r="B34" s="1">
        <v>46015</v>
      </c>
      <c r="C34" t="s">
        <v>113</v>
      </c>
      <c r="D34" t="s">
        <v>131</v>
      </c>
      <c r="E34" t="s">
        <v>134</v>
      </c>
      <c r="F34" t="s">
        <v>142</v>
      </c>
      <c r="G34">
        <v>3</v>
      </c>
      <c r="H34">
        <v>2500</v>
      </c>
      <c r="I34" s="3">
        <v>7500</v>
      </c>
      <c r="J34" s="5">
        <v>2128.75</v>
      </c>
      <c r="K34" t="s">
        <v>156</v>
      </c>
    </row>
    <row r="35" spans="1:11" x14ac:dyDescent="0.3">
      <c r="A35" t="s">
        <v>42</v>
      </c>
      <c r="B35" s="1">
        <v>46016</v>
      </c>
      <c r="C35" t="s">
        <v>118</v>
      </c>
      <c r="D35" t="s">
        <v>127</v>
      </c>
      <c r="E35" t="s">
        <v>135</v>
      </c>
      <c r="F35" t="s">
        <v>140</v>
      </c>
      <c r="G35">
        <v>2</v>
      </c>
      <c r="H35">
        <v>180</v>
      </c>
      <c r="I35" s="3">
        <v>360</v>
      </c>
      <c r="J35" s="5">
        <v>52.3</v>
      </c>
      <c r="K35" t="s">
        <v>156</v>
      </c>
    </row>
    <row r="36" spans="1:11" x14ac:dyDescent="0.3">
      <c r="A36" t="s">
        <v>43</v>
      </c>
      <c r="B36" s="1">
        <v>46017</v>
      </c>
      <c r="C36" t="s">
        <v>122</v>
      </c>
      <c r="D36" t="s">
        <v>133</v>
      </c>
      <c r="E36" t="s">
        <v>134</v>
      </c>
      <c r="F36" t="s">
        <v>142</v>
      </c>
      <c r="G36">
        <v>5</v>
      </c>
      <c r="H36">
        <v>2500</v>
      </c>
      <c r="I36" s="3">
        <v>12500</v>
      </c>
      <c r="J36" s="5">
        <v>3528.31</v>
      </c>
      <c r="K36" t="s">
        <v>154</v>
      </c>
    </row>
    <row r="37" spans="1:11" x14ac:dyDescent="0.3">
      <c r="A37" t="s">
        <v>44</v>
      </c>
      <c r="B37" s="1">
        <v>46018</v>
      </c>
      <c r="C37" t="s">
        <v>123</v>
      </c>
      <c r="D37" t="s">
        <v>130</v>
      </c>
      <c r="E37" t="s">
        <v>134</v>
      </c>
      <c r="F37" t="s">
        <v>144</v>
      </c>
      <c r="G37">
        <v>1</v>
      </c>
      <c r="H37">
        <v>900</v>
      </c>
      <c r="I37" s="3">
        <v>900</v>
      </c>
      <c r="J37" s="5">
        <v>189.82</v>
      </c>
      <c r="K37" t="s">
        <v>157</v>
      </c>
    </row>
    <row r="38" spans="1:11" x14ac:dyDescent="0.3">
      <c r="A38" t="s">
        <v>45</v>
      </c>
      <c r="B38" s="1">
        <v>46019</v>
      </c>
      <c r="C38" t="s">
        <v>123</v>
      </c>
      <c r="D38" t="s">
        <v>128</v>
      </c>
      <c r="E38" t="s">
        <v>137</v>
      </c>
      <c r="F38" t="s">
        <v>147</v>
      </c>
      <c r="G38">
        <v>5</v>
      </c>
      <c r="H38">
        <v>2200</v>
      </c>
      <c r="I38" s="3">
        <v>11000</v>
      </c>
      <c r="J38" s="5">
        <v>1078.4000000000001</v>
      </c>
      <c r="K38" t="s">
        <v>156</v>
      </c>
    </row>
    <row r="39" spans="1:11" x14ac:dyDescent="0.3">
      <c r="A39" t="s">
        <v>46</v>
      </c>
      <c r="B39" s="1">
        <v>46020</v>
      </c>
      <c r="C39" t="s">
        <v>123</v>
      </c>
      <c r="D39" t="s">
        <v>129</v>
      </c>
      <c r="E39" t="s">
        <v>136</v>
      </c>
      <c r="F39" t="s">
        <v>151</v>
      </c>
      <c r="G39">
        <v>3</v>
      </c>
      <c r="H39">
        <v>1600</v>
      </c>
      <c r="I39" s="3">
        <v>4800</v>
      </c>
      <c r="J39" s="5">
        <v>801.95</v>
      </c>
      <c r="K39" t="s">
        <v>157</v>
      </c>
    </row>
    <row r="40" spans="1:11" x14ac:dyDescent="0.3">
      <c r="A40" t="s">
        <v>47</v>
      </c>
      <c r="B40" s="1">
        <v>46021</v>
      </c>
      <c r="C40" t="s">
        <v>114</v>
      </c>
      <c r="D40" t="s">
        <v>126</v>
      </c>
      <c r="E40" t="s">
        <v>134</v>
      </c>
      <c r="F40" t="s">
        <v>138</v>
      </c>
      <c r="G40">
        <v>4</v>
      </c>
      <c r="H40">
        <v>1500</v>
      </c>
      <c r="I40" s="3">
        <v>6000</v>
      </c>
      <c r="J40" s="5">
        <v>1299.93</v>
      </c>
      <c r="K40" t="s">
        <v>154</v>
      </c>
    </row>
    <row r="41" spans="1:11" x14ac:dyDescent="0.3">
      <c r="A41" t="s">
        <v>48</v>
      </c>
      <c r="B41" s="1">
        <v>46022</v>
      </c>
      <c r="C41" t="s">
        <v>124</v>
      </c>
      <c r="D41" t="s">
        <v>126</v>
      </c>
      <c r="E41" t="s">
        <v>137</v>
      </c>
      <c r="F41" t="s">
        <v>145</v>
      </c>
      <c r="G41">
        <v>2</v>
      </c>
      <c r="H41">
        <v>3800</v>
      </c>
      <c r="I41" s="3">
        <v>7600</v>
      </c>
      <c r="J41" s="5">
        <v>2168.41</v>
      </c>
      <c r="K41" t="s">
        <v>155</v>
      </c>
    </row>
    <row r="42" spans="1:11" x14ac:dyDescent="0.3">
      <c r="A42" t="s">
        <v>49</v>
      </c>
      <c r="B42" s="1">
        <v>46023</v>
      </c>
      <c r="C42" t="s">
        <v>119</v>
      </c>
      <c r="D42" t="s">
        <v>129</v>
      </c>
      <c r="E42" t="s">
        <v>136</v>
      </c>
      <c r="F42" t="s">
        <v>151</v>
      </c>
      <c r="G42">
        <v>4</v>
      </c>
      <c r="H42">
        <v>1600</v>
      </c>
      <c r="I42" s="3">
        <v>6400</v>
      </c>
      <c r="J42" s="5">
        <v>1685.91</v>
      </c>
      <c r="K42" t="s">
        <v>154</v>
      </c>
    </row>
    <row r="43" spans="1:11" x14ac:dyDescent="0.3">
      <c r="A43" t="s">
        <v>50</v>
      </c>
      <c r="B43" s="1">
        <v>46024</v>
      </c>
      <c r="C43" t="s">
        <v>124</v>
      </c>
      <c r="D43" t="s">
        <v>126</v>
      </c>
      <c r="E43" t="s">
        <v>136</v>
      </c>
      <c r="F43" t="s">
        <v>146</v>
      </c>
      <c r="G43">
        <v>2</v>
      </c>
      <c r="H43">
        <v>900</v>
      </c>
      <c r="I43" s="3">
        <v>1800</v>
      </c>
      <c r="J43" s="5">
        <v>248.73</v>
      </c>
      <c r="K43" t="s">
        <v>155</v>
      </c>
    </row>
    <row r="44" spans="1:11" x14ac:dyDescent="0.3">
      <c r="A44" t="s">
        <v>51</v>
      </c>
      <c r="B44" s="1">
        <v>46025</v>
      </c>
      <c r="C44" t="s">
        <v>123</v>
      </c>
      <c r="D44" t="s">
        <v>129</v>
      </c>
      <c r="E44" t="s">
        <v>136</v>
      </c>
      <c r="F44" t="s">
        <v>151</v>
      </c>
      <c r="G44">
        <v>3</v>
      </c>
      <c r="H44">
        <v>1600</v>
      </c>
      <c r="I44" s="3">
        <v>4800</v>
      </c>
      <c r="J44" s="5">
        <v>599</v>
      </c>
      <c r="K44" t="s">
        <v>157</v>
      </c>
    </row>
    <row r="45" spans="1:11" x14ac:dyDescent="0.3">
      <c r="A45" t="s">
        <v>52</v>
      </c>
      <c r="B45" s="1">
        <v>46026</v>
      </c>
      <c r="C45" t="s">
        <v>118</v>
      </c>
      <c r="D45" t="s">
        <v>127</v>
      </c>
      <c r="E45" t="s">
        <v>134</v>
      </c>
      <c r="F45" t="s">
        <v>138</v>
      </c>
      <c r="G45">
        <v>4</v>
      </c>
      <c r="H45">
        <v>1500</v>
      </c>
      <c r="I45" s="3">
        <v>6000</v>
      </c>
      <c r="J45" s="5">
        <v>1574.74</v>
      </c>
      <c r="K45" t="s">
        <v>156</v>
      </c>
    </row>
    <row r="46" spans="1:11" x14ac:dyDescent="0.3">
      <c r="A46" t="s">
        <v>53</v>
      </c>
      <c r="B46" s="1">
        <v>46027</v>
      </c>
      <c r="C46" t="s">
        <v>120</v>
      </c>
      <c r="D46" t="s">
        <v>127</v>
      </c>
      <c r="E46" t="s">
        <v>136</v>
      </c>
      <c r="F46" t="s">
        <v>151</v>
      </c>
      <c r="G46">
        <v>4</v>
      </c>
      <c r="H46">
        <v>1600</v>
      </c>
      <c r="I46" s="3">
        <v>6400</v>
      </c>
      <c r="J46" s="5">
        <v>1288.77</v>
      </c>
      <c r="K46" t="s">
        <v>154</v>
      </c>
    </row>
    <row r="47" spans="1:11" x14ac:dyDescent="0.3">
      <c r="A47" t="s">
        <v>54</v>
      </c>
      <c r="B47" s="1">
        <v>46028</v>
      </c>
      <c r="C47" t="s">
        <v>111</v>
      </c>
      <c r="D47" t="s">
        <v>132</v>
      </c>
      <c r="E47" t="s">
        <v>137</v>
      </c>
      <c r="F47" t="s">
        <v>147</v>
      </c>
      <c r="G47">
        <v>3</v>
      </c>
      <c r="H47">
        <v>2200</v>
      </c>
      <c r="I47" s="3">
        <v>6600</v>
      </c>
      <c r="J47" s="5">
        <v>1373.8</v>
      </c>
      <c r="K47" t="s">
        <v>155</v>
      </c>
    </row>
    <row r="48" spans="1:11" x14ac:dyDescent="0.3">
      <c r="A48" t="s">
        <v>55</v>
      </c>
      <c r="B48" s="1">
        <v>46029</v>
      </c>
      <c r="C48" t="s">
        <v>112</v>
      </c>
      <c r="D48" t="s">
        <v>130</v>
      </c>
      <c r="E48" t="s">
        <v>136</v>
      </c>
      <c r="F48" t="s">
        <v>152</v>
      </c>
      <c r="G48">
        <v>1</v>
      </c>
      <c r="H48">
        <v>2500</v>
      </c>
      <c r="I48" s="3">
        <v>2500</v>
      </c>
      <c r="J48" s="5">
        <v>694.41</v>
      </c>
      <c r="K48" t="s">
        <v>154</v>
      </c>
    </row>
    <row r="49" spans="1:11" x14ac:dyDescent="0.3">
      <c r="A49" t="s">
        <v>56</v>
      </c>
      <c r="B49" s="1">
        <v>46030</v>
      </c>
      <c r="C49" t="s">
        <v>113</v>
      </c>
      <c r="D49" t="s">
        <v>133</v>
      </c>
      <c r="E49" t="s">
        <v>135</v>
      </c>
      <c r="F49" t="s">
        <v>140</v>
      </c>
      <c r="G49">
        <v>2</v>
      </c>
      <c r="H49">
        <v>180</v>
      </c>
      <c r="I49" s="3">
        <v>360</v>
      </c>
      <c r="J49" s="5">
        <v>97.28</v>
      </c>
      <c r="K49" t="s">
        <v>157</v>
      </c>
    </row>
    <row r="50" spans="1:11" x14ac:dyDescent="0.3">
      <c r="A50" t="s">
        <v>57</v>
      </c>
      <c r="B50" s="1">
        <v>46031</v>
      </c>
      <c r="C50" t="s">
        <v>115</v>
      </c>
      <c r="D50" t="s">
        <v>130</v>
      </c>
      <c r="E50" t="s">
        <v>137</v>
      </c>
      <c r="F50" t="s">
        <v>145</v>
      </c>
      <c r="G50">
        <v>4</v>
      </c>
      <c r="H50">
        <v>3800</v>
      </c>
      <c r="I50" s="3">
        <v>15200</v>
      </c>
      <c r="J50" s="5">
        <v>3898.67</v>
      </c>
      <c r="K50" t="s">
        <v>156</v>
      </c>
    </row>
    <row r="51" spans="1:11" x14ac:dyDescent="0.3">
      <c r="A51" t="s">
        <v>58</v>
      </c>
      <c r="B51" s="1">
        <v>46032</v>
      </c>
      <c r="C51" t="s">
        <v>112</v>
      </c>
      <c r="D51" t="s">
        <v>130</v>
      </c>
      <c r="E51" t="s">
        <v>134</v>
      </c>
      <c r="F51" t="s">
        <v>142</v>
      </c>
      <c r="G51">
        <v>1</v>
      </c>
      <c r="H51">
        <v>2500</v>
      </c>
      <c r="I51" s="3">
        <v>2500</v>
      </c>
      <c r="J51" s="5">
        <v>672.23</v>
      </c>
      <c r="K51" t="s">
        <v>157</v>
      </c>
    </row>
    <row r="52" spans="1:11" x14ac:dyDescent="0.3">
      <c r="A52" t="s">
        <v>59</v>
      </c>
      <c r="B52" s="1">
        <v>46033</v>
      </c>
      <c r="C52" t="s">
        <v>112</v>
      </c>
      <c r="D52" t="s">
        <v>132</v>
      </c>
      <c r="E52" t="s">
        <v>136</v>
      </c>
      <c r="F52" t="s">
        <v>151</v>
      </c>
      <c r="G52">
        <v>2</v>
      </c>
      <c r="H52">
        <v>1600</v>
      </c>
      <c r="I52" s="3">
        <v>3200</v>
      </c>
      <c r="J52" s="5">
        <v>272.66000000000003</v>
      </c>
      <c r="K52" t="s">
        <v>156</v>
      </c>
    </row>
    <row r="53" spans="1:11" x14ac:dyDescent="0.3">
      <c r="A53" t="s">
        <v>60</v>
      </c>
      <c r="B53" s="1">
        <v>46034</v>
      </c>
      <c r="C53" t="s">
        <v>120</v>
      </c>
      <c r="D53" t="s">
        <v>128</v>
      </c>
      <c r="E53" t="s">
        <v>134</v>
      </c>
      <c r="F53" t="s">
        <v>153</v>
      </c>
      <c r="G53">
        <v>3</v>
      </c>
      <c r="H53">
        <v>600</v>
      </c>
      <c r="I53" s="3">
        <v>1800</v>
      </c>
      <c r="J53" s="5">
        <v>398.03</v>
      </c>
      <c r="K53" t="s">
        <v>154</v>
      </c>
    </row>
    <row r="54" spans="1:11" x14ac:dyDescent="0.3">
      <c r="A54" t="s">
        <v>61</v>
      </c>
      <c r="B54" s="1">
        <v>46035</v>
      </c>
      <c r="C54" t="s">
        <v>125</v>
      </c>
      <c r="D54" t="s">
        <v>127</v>
      </c>
      <c r="E54" t="s">
        <v>136</v>
      </c>
      <c r="F54" t="s">
        <v>151</v>
      </c>
      <c r="G54">
        <v>5</v>
      </c>
      <c r="H54">
        <v>1600</v>
      </c>
      <c r="I54" s="3">
        <v>8000</v>
      </c>
      <c r="J54" s="5">
        <v>2334.06</v>
      </c>
      <c r="K54" t="s">
        <v>154</v>
      </c>
    </row>
    <row r="55" spans="1:11" x14ac:dyDescent="0.3">
      <c r="A55" t="s">
        <v>62</v>
      </c>
      <c r="B55" s="1">
        <v>46036</v>
      </c>
      <c r="C55" t="s">
        <v>122</v>
      </c>
      <c r="D55" t="s">
        <v>126</v>
      </c>
      <c r="E55" t="s">
        <v>135</v>
      </c>
      <c r="F55" t="s">
        <v>141</v>
      </c>
      <c r="G55">
        <v>3</v>
      </c>
      <c r="H55">
        <v>80</v>
      </c>
      <c r="I55" s="3">
        <v>240</v>
      </c>
      <c r="J55" s="5">
        <v>42.24</v>
      </c>
      <c r="K55" t="s">
        <v>157</v>
      </c>
    </row>
    <row r="56" spans="1:11" x14ac:dyDescent="0.3">
      <c r="A56" t="s">
        <v>63</v>
      </c>
      <c r="B56" s="1">
        <v>46037</v>
      </c>
      <c r="C56" t="s">
        <v>118</v>
      </c>
      <c r="D56" t="s">
        <v>130</v>
      </c>
      <c r="E56" t="s">
        <v>137</v>
      </c>
      <c r="F56" t="s">
        <v>145</v>
      </c>
      <c r="G56">
        <v>1</v>
      </c>
      <c r="H56">
        <v>3800</v>
      </c>
      <c r="I56" s="3">
        <v>3800</v>
      </c>
      <c r="J56" s="5">
        <v>896.54</v>
      </c>
      <c r="K56" t="s">
        <v>156</v>
      </c>
    </row>
    <row r="57" spans="1:11" x14ac:dyDescent="0.3">
      <c r="A57" t="s">
        <v>64</v>
      </c>
      <c r="B57" s="1">
        <v>46038</v>
      </c>
      <c r="C57" t="s">
        <v>115</v>
      </c>
      <c r="D57" t="s">
        <v>126</v>
      </c>
      <c r="E57" t="s">
        <v>134</v>
      </c>
      <c r="F57" t="s">
        <v>153</v>
      </c>
      <c r="G57">
        <v>5</v>
      </c>
      <c r="H57">
        <v>600</v>
      </c>
      <c r="I57" s="3">
        <v>3000</v>
      </c>
      <c r="J57" s="5">
        <v>447.18</v>
      </c>
      <c r="K57" t="s">
        <v>156</v>
      </c>
    </row>
    <row r="58" spans="1:11" x14ac:dyDescent="0.3">
      <c r="A58" t="s">
        <v>65</v>
      </c>
      <c r="B58" s="1">
        <v>46039</v>
      </c>
      <c r="C58" t="s">
        <v>125</v>
      </c>
      <c r="D58" t="s">
        <v>133</v>
      </c>
      <c r="E58" t="s">
        <v>136</v>
      </c>
      <c r="F58" t="s">
        <v>143</v>
      </c>
      <c r="G58">
        <v>3</v>
      </c>
      <c r="H58">
        <v>2200</v>
      </c>
      <c r="I58" s="3">
        <v>6600</v>
      </c>
      <c r="J58" s="5">
        <v>1112.29</v>
      </c>
      <c r="K58" t="s">
        <v>155</v>
      </c>
    </row>
    <row r="59" spans="1:11" x14ac:dyDescent="0.3">
      <c r="A59" t="s">
        <v>66</v>
      </c>
      <c r="B59" s="1">
        <v>46040</v>
      </c>
      <c r="C59" t="s">
        <v>120</v>
      </c>
      <c r="D59" t="s">
        <v>127</v>
      </c>
      <c r="E59" t="s">
        <v>135</v>
      </c>
      <c r="F59" t="s">
        <v>140</v>
      </c>
      <c r="G59">
        <v>5</v>
      </c>
      <c r="H59">
        <v>180</v>
      </c>
      <c r="I59" s="3">
        <v>900</v>
      </c>
      <c r="J59" s="5">
        <v>184.68</v>
      </c>
      <c r="K59" t="s">
        <v>156</v>
      </c>
    </row>
    <row r="60" spans="1:11" x14ac:dyDescent="0.3">
      <c r="A60" t="s">
        <v>67</v>
      </c>
      <c r="B60" s="1">
        <v>46041</v>
      </c>
      <c r="C60" t="s">
        <v>117</v>
      </c>
      <c r="D60" t="s">
        <v>131</v>
      </c>
      <c r="E60" t="s">
        <v>137</v>
      </c>
      <c r="F60" t="s">
        <v>149</v>
      </c>
      <c r="G60">
        <v>5</v>
      </c>
      <c r="H60">
        <v>7000</v>
      </c>
      <c r="I60" s="3">
        <v>35000</v>
      </c>
      <c r="J60" s="5">
        <v>7471.29</v>
      </c>
      <c r="K60" t="s">
        <v>157</v>
      </c>
    </row>
    <row r="61" spans="1:11" x14ac:dyDescent="0.3">
      <c r="A61" t="s">
        <v>68</v>
      </c>
      <c r="B61" s="1">
        <v>46042</v>
      </c>
      <c r="C61" t="s">
        <v>125</v>
      </c>
      <c r="D61" t="s">
        <v>128</v>
      </c>
      <c r="E61" t="s">
        <v>137</v>
      </c>
      <c r="F61" t="s">
        <v>149</v>
      </c>
      <c r="G61">
        <v>2</v>
      </c>
      <c r="H61">
        <v>7000</v>
      </c>
      <c r="I61" s="3">
        <v>14000</v>
      </c>
      <c r="J61" s="5">
        <v>3149.26</v>
      </c>
      <c r="K61" t="s">
        <v>154</v>
      </c>
    </row>
    <row r="62" spans="1:11" x14ac:dyDescent="0.3">
      <c r="A62" t="s">
        <v>69</v>
      </c>
      <c r="B62" s="1">
        <v>46043</v>
      </c>
      <c r="C62" t="s">
        <v>118</v>
      </c>
      <c r="D62" t="s">
        <v>130</v>
      </c>
      <c r="E62" t="s">
        <v>136</v>
      </c>
      <c r="F62" t="s">
        <v>151</v>
      </c>
      <c r="G62">
        <v>2</v>
      </c>
      <c r="H62">
        <v>1600</v>
      </c>
      <c r="I62" s="3">
        <v>3200</v>
      </c>
      <c r="J62" s="5">
        <v>359.74</v>
      </c>
      <c r="K62" t="s">
        <v>157</v>
      </c>
    </row>
    <row r="63" spans="1:11" x14ac:dyDescent="0.3">
      <c r="A63" t="s">
        <v>70</v>
      </c>
      <c r="B63" s="1">
        <v>46044</v>
      </c>
      <c r="C63" t="s">
        <v>114</v>
      </c>
      <c r="D63" t="s">
        <v>130</v>
      </c>
      <c r="E63" t="s">
        <v>134</v>
      </c>
      <c r="F63" t="s">
        <v>142</v>
      </c>
      <c r="G63">
        <v>4</v>
      </c>
      <c r="H63">
        <v>2500</v>
      </c>
      <c r="I63" s="3">
        <v>10000</v>
      </c>
      <c r="J63" s="5">
        <v>2749.5</v>
      </c>
      <c r="K63" t="s">
        <v>157</v>
      </c>
    </row>
    <row r="64" spans="1:11" x14ac:dyDescent="0.3">
      <c r="A64" t="s">
        <v>71</v>
      </c>
      <c r="B64" s="1">
        <v>46045</v>
      </c>
      <c r="C64" t="s">
        <v>118</v>
      </c>
      <c r="D64" t="s">
        <v>126</v>
      </c>
      <c r="E64" t="s">
        <v>135</v>
      </c>
      <c r="F64" t="s">
        <v>140</v>
      </c>
      <c r="G64">
        <v>2</v>
      </c>
      <c r="H64">
        <v>180</v>
      </c>
      <c r="I64" s="3">
        <v>360</v>
      </c>
      <c r="J64" s="5">
        <v>80.760000000000005</v>
      </c>
      <c r="K64" t="s">
        <v>157</v>
      </c>
    </row>
    <row r="65" spans="1:11" x14ac:dyDescent="0.3">
      <c r="A65" t="s">
        <v>72</v>
      </c>
      <c r="B65" s="1">
        <v>46046</v>
      </c>
      <c r="C65" t="s">
        <v>124</v>
      </c>
      <c r="D65" t="s">
        <v>126</v>
      </c>
      <c r="E65" t="s">
        <v>137</v>
      </c>
      <c r="F65" t="s">
        <v>149</v>
      </c>
      <c r="G65">
        <v>1</v>
      </c>
      <c r="H65">
        <v>7000</v>
      </c>
      <c r="I65" s="3">
        <v>7000</v>
      </c>
      <c r="J65" s="5">
        <v>1418.4</v>
      </c>
      <c r="K65" t="s">
        <v>157</v>
      </c>
    </row>
    <row r="66" spans="1:11" x14ac:dyDescent="0.3">
      <c r="A66" t="s">
        <v>73</v>
      </c>
      <c r="B66" s="1">
        <v>46047</v>
      </c>
      <c r="C66" t="s">
        <v>119</v>
      </c>
      <c r="D66" t="s">
        <v>132</v>
      </c>
      <c r="E66" t="s">
        <v>135</v>
      </c>
      <c r="F66" t="s">
        <v>141</v>
      </c>
      <c r="G66">
        <v>4</v>
      </c>
      <c r="H66">
        <v>80</v>
      </c>
      <c r="I66" s="3">
        <v>320</v>
      </c>
      <c r="J66" s="5">
        <v>68.73</v>
      </c>
      <c r="K66" t="s">
        <v>157</v>
      </c>
    </row>
    <row r="67" spans="1:11" x14ac:dyDescent="0.3">
      <c r="A67" t="s">
        <v>74</v>
      </c>
      <c r="B67" s="1">
        <v>46048</v>
      </c>
      <c r="C67" t="s">
        <v>115</v>
      </c>
      <c r="D67" t="s">
        <v>129</v>
      </c>
      <c r="E67" t="s">
        <v>135</v>
      </c>
      <c r="F67" t="s">
        <v>150</v>
      </c>
      <c r="G67">
        <v>3</v>
      </c>
      <c r="H67">
        <v>250</v>
      </c>
      <c r="I67" s="3">
        <v>750</v>
      </c>
      <c r="J67" s="5">
        <v>184.04</v>
      </c>
      <c r="K67" t="s">
        <v>157</v>
      </c>
    </row>
    <row r="68" spans="1:11" x14ac:dyDescent="0.3">
      <c r="A68" t="s">
        <v>75</v>
      </c>
      <c r="B68" s="1">
        <v>46049</v>
      </c>
      <c r="C68" t="s">
        <v>125</v>
      </c>
      <c r="D68" t="s">
        <v>130</v>
      </c>
      <c r="E68" t="s">
        <v>137</v>
      </c>
      <c r="F68" t="s">
        <v>145</v>
      </c>
      <c r="G68">
        <v>4</v>
      </c>
      <c r="H68">
        <v>3800</v>
      </c>
      <c r="I68" s="3">
        <v>15200</v>
      </c>
      <c r="J68" s="5">
        <v>1475.1</v>
      </c>
      <c r="K68" t="s">
        <v>156</v>
      </c>
    </row>
    <row r="69" spans="1:11" x14ac:dyDescent="0.3">
      <c r="A69" t="s">
        <v>76</v>
      </c>
      <c r="B69" s="1">
        <v>46050</v>
      </c>
      <c r="C69" t="s">
        <v>120</v>
      </c>
      <c r="D69" t="s">
        <v>133</v>
      </c>
      <c r="E69" t="s">
        <v>136</v>
      </c>
      <c r="F69" t="s">
        <v>146</v>
      </c>
      <c r="G69">
        <v>2</v>
      </c>
      <c r="H69">
        <v>900</v>
      </c>
      <c r="I69" s="3">
        <v>1800</v>
      </c>
      <c r="J69" s="5">
        <v>203.73</v>
      </c>
      <c r="K69" t="s">
        <v>155</v>
      </c>
    </row>
    <row r="70" spans="1:11" x14ac:dyDescent="0.3">
      <c r="A70" t="s">
        <v>77</v>
      </c>
      <c r="B70" s="1">
        <v>46051</v>
      </c>
      <c r="C70" t="s">
        <v>120</v>
      </c>
      <c r="D70" t="s">
        <v>127</v>
      </c>
      <c r="E70" t="s">
        <v>135</v>
      </c>
      <c r="F70" t="s">
        <v>150</v>
      </c>
      <c r="G70">
        <v>3</v>
      </c>
      <c r="H70">
        <v>250</v>
      </c>
      <c r="I70" s="3">
        <v>750</v>
      </c>
      <c r="J70" s="5">
        <v>149.53</v>
      </c>
      <c r="K70" t="s">
        <v>155</v>
      </c>
    </row>
    <row r="71" spans="1:11" x14ac:dyDescent="0.3">
      <c r="A71" t="s">
        <v>78</v>
      </c>
      <c r="B71" s="1">
        <v>46052</v>
      </c>
      <c r="C71" t="s">
        <v>118</v>
      </c>
      <c r="D71" t="s">
        <v>128</v>
      </c>
      <c r="E71" t="s">
        <v>135</v>
      </c>
      <c r="F71" t="s">
        <v>139</v>
      </c>
      <c r="G71">
        <v>5</v>
      </c>
      <c r="H71">
        <v>700</v>
      </c>
      <c r="I71" s="3">
        <v>3500</v>
      </c>
      <c r="J71" s="5">
        <v>572.89</v>
      </c>
      <c r="K71" t="s">
        <v>156</v>
      </c>
    </row>
    <row r="72" spans="1:11" x14ac:dyDescent="0.3">
      <c r="A72" t="s">
        <v>79</v>
      </c>
      <c r="B72" s="1">
        <v>46053</v>
      </c>
      <c r="C72" t="s">
        <v>120</v>
      </c>
      <c r="D72" t="s">
        <v>131</v>
      </c>
      <c r="E72" t="s">
        <v>135</v>
      </c>
      <c r="F72" t="s">
        <v>140</v>
      </c>
      <c r="G72">
        <v>4</v>
      </c>
      <c r="H72">
        <v>180</v>
      </c>
      <c r="I72" s="3">
        <v>720</v>
      </c>
      <c r="J72" s="5">
        <v>92.36</v>
      </c>
      <c r="K72" t="s">
        <v>154</v>
      </c>
    </row>
    <row r="73" spans="1:11" x14ac:dyDescent="0.3">
      <c r="A73" t="s">
        <v>80</v>
      </c>
      <c r="B73" s="1">
        <v>46054</v>
      </c>
      <c r="C73" t="s">
        <v>124</v>
      </c>
      <c r="D73" t="s">
        <v>133</v>
      </c>
      <c r="E73" t="s">
        <v>136</v>
      </c>
      <c r="F73" t="s">
        <v>143</v>
      </c>
      <c r="G73">
        <v>2</v>
      </c>
      <c r="H73">
        <v>2200</v>
      </c>
      <c r="I73" s="3">
        <v>4400</v>
      </c>
      <c r="J73" s="5">
        <v>1165.6099999999999</v>
      </c>
      <c r="K73" t="s">
        <v>154</v>
      </c>
    </row>
    <row r="74" spans="1:11" x14ac:dyDescent="0.3">
      <c r="A74" t="s">
        <v>81</v>
      </c>
      <c r="B74" s="1">
        <v>46055</v>
      </c>
      <c r="C74" t="s">
        <v>121</v>
      </c>
      <c r="D74" t="s">
        <v>133</v>
      </c>
      <c r="E74" t="s">
        <v>134</v>
      </c>
      <c r="F74" t="s">
        <v>138</v>
      </c>
      <c r="G74">
        <v>4</v>
      </c>
      <c r="H74">
        <v>1500</v>
      </c>
      <c r="I74" s="3">
        <v>6000</v>
      </c>
      <c r="J74" s="5">
        <v>659.12</v>
      </c>
      <c r="K74" t="s">
        <v>154</v>
      </c>
    </row>
    <row r="75" spans="1:11" x14ac:dyDescent="0.3">
      <c r="A75" t="s">
        <v>82</v>
      </c>
      <c r="B75" s="1">
        <v>46056</v>
      </c>
      <c r="C75" t="s">
        <v>117</v>
      </c>
      <c r="D75" t="s">
        <v>132</v>
      </c>
      <c r="E75" t="s">
        <v>135</v>
      </c>
      <c r="F75" t="s">
        <v>141</v>
      </c>
      <c r="G75">
        <v>2</v>
      </c>
      <c r="H75">
        <v>80</v>
      </c>
      <c r="I75" s="3">
        <v>160</v>
      </c>
      <c r="J75" s="5">
        <v>28.81</v>
      </c>
      <c r="K75" t="s">
        <v>156</v>
      </c>
    </row>
    <row r="76" spans="1:11" x14ac:dyDescent="0.3">
      <c r="A76" t="s">
        <v>83</v>
      </c>
      <c r="B76" s="1">
        <v>46057</v>
      </c>
      <c r="C76" t="s">
        <v>122</v>
      </c>
      <c r="D76" t="s">
        <v>127</v>
      </c>
      <c r="E76" t="s">
        <v>136</v>
      </c>
      <c r="F76" t="s">
        <v>146</v>
      </c>
      <c r="G76">
        <v>4</v>
      </c>
      <c r="H76">
        <v>900</v>
      </c>
      <c r="I76" s="3">
        <v>3600</v>
      </c>
      <c r="J76" s="5">
        <v>303.35000000000002</v>
      </c>
      <c r="K76" t="s">
        <v>156</v>
      </c>
    </row>
    <row r="77" spans="1:11" x14ac:dyDescent="0.3">
      <c r="A77" t="s">
        <v>84</v>
      </c>
      <c r="B77" s="1">
        <v>46058</v>
      </c>
      <c r="C77" t="s">
        <v>112</v>
      </c>
      <c r="D77" t="s">
        <v>127</v>
      </c>
      <c r="E77" t="s">
        <v>134</v>
      </c>
      <c r="F77" t="s">
        <v>138</v>
      </c>
      <c r="G77">
        <v>1</v>
      </c>
      <c r="H77">
        <v>1500</v>
      </c>
      <c r="I77" s="3">
        <v>1500</v>
      </c>
      <c r="J77" s="5">
        <v>433.37</v>
      </c>
      <c r="K77" t="s">
        <v>155</v>
      </c>
    </row>
    <row r="78" spans="1:11" x14ac:dyDescent="0.3">
      <c r="A78" t="s">
        <v>85</v>
      </c>
      <c r="B78" s="1">
        <v>46059</v>
      </c>
      <c r="C78" t="s">
        <v>112</v>
      </c>
      <c r="D78" t="s">
        <v>131</v>
      </c>
      <c r="E78" t="s">
        <v>137</v>
      </c>
      <c r="F78" t="s">
        <v>149</v>
      </c>
      <c r="G78">
        <v>1</v>
      </c>
      <c r="H78">
        <v>7000</v>
      </c>
      <c r="I78" s="3">
        <v>7000</v>
      </c>
      <c r="J78" s="5">
        <v>1428.51</v>
      </c>
      <c r="K78" t="s">
        <v>156</v>
      </c>
    </row>
    <row r="79" spans="1:11" x14ac:dyDescent="0.3">
      <c r="A79" t="s">
        <v>86</v>
      </c>
      <c r="B79" s="1">
        <v>46060</v>
      </c>
      <c r="C79" t="s">
        <v>116</v>
      </c>
      <c r="D79" t="s">
        <v>127</v>
      </c>
      <c r="E79" t="s">
        <v>137</v>
      </c>
      <c r="F79" t="s">
        <v>147</v>
      </c>
      <c r="G79">
        <v>2</v>
      </c>
      <c r="H79">
        <v>2200</v>
      </c>
      <c r="I79" s="3">
        <v>4400</v>
      </c>
      <c r="J79" s="5">
        <v>1285.8499999999999</v>
      </c>
      <c r="K79" t="s">
        <v>156</v>
      </c>
    </row>
    <row r="80" spans="1:11" x14ac:dyDescent="0.3">
      <c r="A80" t="s">
        <v>87</v>
      </c>
      <c r="B80" s="1">
        <v>46061</v>
      </c>
      <c r="C80" t="s">
        <v>119</v>
      </c>
      <c r="D80" t="s">
        <v>130</v>
      </c>
      <c r="E80" t="s">
        <v>135</v>
      </c>
      <c r="F80" t="s">
        <v>150</v>
      </c>
      <c r="G80">
        <v>2</v>
      </c>
      <c r="H80">
        <v>250</v>
      </c>
      <c r="I80" s="3">
        <v>500</v>
      </c>
      <c r="J80" s="5">
        <v>48.36</v>
      </c>
      <c r="K80" t="s">
        <v>154</v>
      </c>
    </row>
    <row r="81" spans="1:11" x14ac:dyDescent="0.3">
      <c r="A81" t="s">
        <v>88</v>
      </c>
      <c r="B81" s="1">
        <v>46062</v>
      </c>
      <c r="C81" t="s">
        <v>117</v>
      </c>
      <c r="D81" t="s">
        <v>132</v>
      </c>
      <c r="E81" t="s">
        <v>136</v>
      </c>
      <c r="F81" t="s">
        <v>146</v>
      </c>
      <c r="G81">
        <v>5</v>
      </c>
      <c r="H81">
        <v>900</v>
      </c>
      <c r="I81" s="3">
        <v>4500</v>
      </c>
      <c r="J81" s="5">
        <v>1134.81</v>
      </c>
      <c r="K81" t="s">
        <v>156</v>
      </c>
    </row>
    <row r="82" spans="1:11" x14ac:dyDescent="0.3">
      <c r="A82" t="s">
        <v>89</v>
      </c>
      <c r="B82" s="1">
        <v>46063</v>
      </c>
      <c r="C82" t="s">
        <v>116</v>
      </c>
      <c r="D82" t="s">
        <v>132</v>
      </c>
      <c r="E82" t="s">
        <v>136</v>
      </c>
      <c r="F82" t="s">
        <v>146</v>
      </c>
      <c r="G82">
        <v>4</v>
      </c>
      <c r="H82">
        <v>900</v>
      </c>
      <c r="I82" s="3">
        <v>3600</v>
      </c>
      <c r="J82" s="5">
        <v>939.29</v>
      </c>
      <c r="K82" t="s">
        <v>156</v>
      </c>
    </row>
    <row r="83" spans="1:11" x14ac:dyDescent="0.3">
      <c r="A83" t="s">
        <v>90</v>
      </c>
      <c r="B83" s="1">
        <v>46064</v>
      </c>
      <c r="C83" t="s">
        <v>122</v>
      </c>
      <c r="D83" t="s">
        <v>129</v>
      </c>
      <c r="E83" t="s">
        <v>135</v>
      </c>
      <c r="F83" t="s">
        <v>140</v>
      </c>
      <c r="G83">
        <v>4</v>
      </c>
      <c r="H83">
        <v>180</v>
      </c>
      <c r="I83" s="3">
        <v>720</v>
      </c>
      <c r="J83" s="5">
        <v>85.5</v>
      </c>
      <c r="K83" t="s">
        <v>157</v>
      </c>
    </row>
    <row r="84" spans="1:11" x14ac:dyDescent="0.3">
      <c r="A84" t="s">
        <v>91</v>
      </c>
      <c r="B84" s="1">
        <v>46065</v>
      </c>
      <c r="C84" t="s">
        <v>115</v>
      </c>
      <c r="D84" t="s">
        <v>126</v>
      </c>
      <c r="E84" t="s">
        <v>135</v>
      </c>
      <c r="F84" t="s">
        <v>141</v>
      </c>
      <c r="G84">
        <v>3</v>
      </c>
      <c r="H84">
        <v>80</v>
      </c>
      <c r="I84" s="3">
        <v>240</v>
      </c>
      <c r="J84" s="5">
        <v>64.17</v>
      </c>
      <c r="K84" t="s">
        <v>156</v>
      </c>
    </row>
    <row r="85" spans="1:11" x14ac:dyDescent="0.3">
      <c r="A85" t="s">
        <v>92</v>
      </c>
      <c r="B85" s="1">
        <v>46066</v>
      </c>
      <c r="C85" t="s">
        <v>120</v>
      </c>
      <c r="D85" t="s">
        <v>128</v>
      </c>
      <c r="E85" t="s">
        <v>137</v>
      </c>
      <c r="F85" t="s">
        <v>149</v>
      </c>
      <c r="G85">
        <v>5</v>
      </c>
      <c r="H85">
        <v>7000</v>
      </c>
      <c r="I85" s="3">
        <v>35000</v>
      </c>
      <c r="J85" s="5">
        <v>7499.55</v>
      </c>
      <c r="K85" t="s">
        <v>154</v>
      </c>
    </row>
    <row r="86" spans="1:11" x14ac:dyDescent="0.3">
      <c r="A86" t="s">
        <v>93</v>
      </c>
      <c r="B86" s="1">
        <v>46067</v>
      </c>
      <c r="C86" t="s">
        <v>113</v>
      </c>
      <c r="D86" t="s">
        <v>129</v>
      </c>
      <c r="E86" t="s">
        <v>136</v>
      </c>
      <c r="F86" t="s">
        <v>151</v>
      </c>
      <c r="G86">
        <v>4</v>
      </c>
      <c r="H86">
        <v>1600</v>
      </c>
      <c r="I86" s="3">
        <v>6400</v>
      </c>
      <c r="J86" s="5">
        <v>810.66</v>
      </c>
      <c r="K86" t="s">
        <v>156</v>
      </c>
    </row>
    <row r="87" spans="1:11" x14ac:dyDescent="0.3">
      <c r="A87" t="s">
        <v>94</v>
      </c>
      <c r="B87" s="1">
        <v>46068</v>
      </c>
      <c r="C87" t="s">
        <v>116</v>
      </c>
      <c r="D87" t="s">
        <v>130</v>
      </c>
      <c r="E87" t="s">
        <v>136</v>
      </c>
      <c r="F87" t="s">
        <v>146</v>
      </c>
      <c r="G87">
        <v>5</v>
      </c>
      <c r="H87">
        <v>900</v>
      </c>
      <c r="I87" s="3">
        <v>4500</v>
      </c>
      <c r="J87" s="5">
        <v>1298.58</v>
      </c>
      <c r="K87" t="s">
        <v>157</v>
      </c>
    </row>
    <row r="88" spans="1:11" x14ac:dyDescent="0.3">
      <c r="A88" t="s">
        <v>95</v>
      </c>
      <c r="B88" s="1">
        <v>46069</v>
      </c>
      <c r="C88" t="s">
        <v>118</v>
      </c>
      <c r="D88" t="s">
        <v>126</v>
      </c>
      <c r="E88" t="s">
        <v>137</v>
      </c>
      <c r="F88" t="s">
        <v>149</v>
      </c>
      <c r="G88">
        <v>4</v>
      </c>
      <c r="H88">
        <v>7000</v>
      </c>
      <c r="I88" s="3">
        <v>28000</v>
      </c>
      <c r="J88" s="5">
        <v>5000.76</v>
      </c>
      <c r="K88" t="s">
        <v>156</v>
      </c>
    </row>
    <row r="89" spans="1:11" x14ac:dyDescent="0.3">
      <c r="A89" t="s">
        <v>96</v>
      </c>
      <c r="B89" s="1">
        <v>46070</v>
      </c>
      <c r="C89" t="s">
        <v>117</v>
      </c>
      <c r="D89" t="s">
        <v>131</v>
      </c>
      <c r="E89" t="s">
        <v>135</v>
      </c>
      <c r="F89" t="s">
        <v>140</v>
      </c>
      <c r="G89">
        <v>3</v>
      </c>
      <c r="H89">
        <v>180</v>
      </c>
      <c r="I89" s="3">
        <v>540</v>
      </c>
      <c r="J89" s="5">
        <v>122.08</v>
      </c>
      <c r="K89" t="s">
        <v>156</v>
      </c>
    </row>
    <row r="90" spans="1:11" x14ac:dyDescent="0.3">
      <c r="A90" t="s">
        <v>97</v>
      </c>
      <c r="B90" s="1">
        <v>46071</v>
      </c>
      <c r="C90" t="s">
        <v>125</v>
      </c>
      <c r="D90" t="s">
        <v>130</v>
      </c>
      <c r="E90" t="s">
        <v>136</v>
      </c>
      <c r="F90" t="s">
        <v>152</v>
      </c>
      <c r="G90">
        <v>4</v>
      </c>
      <c r="H90">
        <v>2500</v>
      </c>
      <c r="I90" s="3">
        <v>10000</v>
      </c>
      <c r="J90" s="5">
        <v>1396.02</v>
      </c>
      <c r="K90" t="s">
        <v>154</v>
      </c>
    </row>
    <row r="91" spans="1:11" x14ac:dyDescent="0.3">
      <c r="A91" t="s">
        <v>98</v>
      </c>
      <c r="B91" s="1">
        <v>46072</v>
      </c>
      <c r="C91" t="s">
        <v>119</v>
      </c>
      <c r="D91" t="s">
        <v>133</v>
      </c>
      <c r="E91" t="s">
        <v>136</v>
      </c>
      <c r="F91" t="s">
        <v>146</v>
      </c>
      <c r="G91">
        <v>5</v>
      </c>
      <c r="H91">
        <v>900</v>
      </c>
      <c r="I91" s="3">
        <v>4500</v>
      </c>
      <c r="J91" s="5">
        <v>1301.3699999999999</v>
      </c>
      <c r="K91" t="s">
        <v>155</v>
      </c>
    </row>
    <row r="92" spans="1:11" x14ac:dyDescent="0.3">
      <c r="A92" t="s">
        <v>99</v>
      </c>
      <c r="B92" s="1">
        <v>46073</v>
      </c>
      <c r="C92" t="s">
        <v>122</v>
      </c>
      <c r="D92" t="s">
        <v>129</v>
      </c>
      <c r="E92" t="s">
        <v>135</v>
      </c>
      <c r="F92" t="s">
        <v>141</v>
      </c>
      <c r="G92">
        <v>5</v>
      </c>
      <c r="H92">
        <v>80</v>
      </c>
      <c r="I92" s="3">
        <v>400</v>
      </c>
      <c r="J92" s="5">
        <v>117.94</v>
      </c>
      <c r="K92" t="s">
        <v>154</v>
      </c>
    </row>
    <row r="93" spans="1:11" x14ac:dyDescent="0.3">
      <c r="A93" t="s">
        <v>100</v>
      </c>
      <c r="B93" s="1">
        <v>46074</v>
      </c>
      <c r="C93" t="s">
        <v>118</v>
      </c>
      <c r="D93" t="s">
        <v>133</v>
      </c>
      <c r="E93" t="s">
        <v>136</v>
      </c>
      <c r="F93" t="s">
        <v>151</v>
      </c>
      <c r="G93">
        <v>3</v>
      </c>
      <c r="H93">
        <v>1600</v>
      </c>
      <c r="I93" s="3">
        <v>4800</v>
      </c>
      <c r="J93" s="5">
        <v>573.49</v>
      </c>
      <c r="K93" t="s">
        <v>156</v>
      </c>
    </row>
    <row r="94" spans="1:11" x14ac:dyDescent="0.3">
      <c r="A94" t="s">
        <v>101</v>
      </c>
      <c r="B94" s="1">
        <v>46075</v>
      </c>
      <c r="C94" t="s">
        <v>113</v>
      </c>
      <c r="D94" t="s">
        <v>131</v>
      </c>
      <c r="E94" t="s">
        <v>134</v>
      </c>
      <c r="F94" t="s">
        <v>153</v>
      </c>
      <c r="G94">
        <v>2</v>
      </c>
      <c r="H94">
        <v>600</v>
      </c>
      <c r="I94" s="3">
        <v>1200</v>
      </c>
      <c r="J94" s="5">
        <v>264.39999999999998</v>
      </c>
      <c r="K94" t="s">
        <v>154</v>
      </c>
    </row>
    <row r="95" spans="1:11" x14ac:dyDescent="0.3">
      <c r="A95" t="s">
        <v>102</v>
      </c>
      <c r="B95" s="1">
        <v>46076</v>
      </c>
      <c r="C95" t="s">
        <v>111</v>
      </c>
      <c r="D95" t="s">
        <v>127</v>
      </c>
      <c r="E95" t="s">
        <v>136</v>
      </c>
      <c r="F95" t="s">
        <v>143</v>
      </c>
      <c r="G95">
        <v>4</v>
      </c>
      <c r="H95">
        <v>2200</v>
      </c>
      <c r="I95" s="3">
        <v>8800</v>
      </c>
      <c r="J95" s="5">
        <v>1556.75</v>
      </c>
      <c r="K95" t="s">
        <v>156</v>
      </c>
    </row>
    <row r="96" spans="1:11" x14ac:dyDescent="0.3">
      <c r="A96" t="s">
        <v>103</v>
      </c>
      <c r="B96" s="1">
        <v>46077</v>
      </c>
      <c r="C96" t="s">
        <v>114</v>
      </c>
      <c r="D96" t="s">
        <v>127</v>
      </c>
      <c r="E96" t="s">
        <v>134</v>
      </c>
      <c r="F96" t="s">
        <v>138</v>
      </c>
      <c r="G96">
        <v>4</v>
      </c>
      <c r="H96">
        <v>1500</v>
      </c>
      <c r="I96" s="3">
        <v>6000</v>
      </c>
      <c r="J96" s="5">
        <v>1129.1099999999999</v>
      </c>
      <c r="K96" t="s">
        <v>155</v>
      </c>
    </row>
    <row r="97" spans="1:11" x14ac:dyDescent="0.3">
      <c r="A97" t="s">
        <v>104</v>
      </c>
      <c r="B97" s="1">
        <v>46078</v>
      </c>
      <c r="C97" t="s">
        <v>113</v>
      </c>
      <c r="D97" t="s">
        <v>132</v>
      </c>
      <c r="E97" t="s">
        <v>136</v>
      </c>
      <c r="F97" t="s">
        <v>146</v>
      </c>
      <c r="G97">
        <v>2</v>
      </c>
      <c r="H97">
        <v>900</v>
      </c>
      <c r="I97" s="3">
        <v>1800</v>
      </c>
      <c r="J97" s="5">
        <v>190.91</v>
      </c>
      <c r="K97" t="s">
        <v>155</v>
      </c>
    </row>
    <row r="98" spans="1:11" x14ac:dyDescent="0.3">
      <c r="A98" t="s">
        <v>105</v>
      </c>
      <c r="B98" s="1">
        <v>46079</v>
      </c>
      <c r="C98" t="s">
        <v>114</v>
      </c>
      <c r="D98" t="s">
        <v>132</v>
      </c>
      <c r="E98" t="s">
        <v>135</v>
      </c>
      <c r="F98" t="s">
        <v>150</v>
      </c>
      <c r="G98">
        <v>4</v>
      </c>
      <c r="H98">
        <v>250</v>
      </c>
      <c r="I98" s="3">
        <v>1000</v>
      </c>
      <c r="J98" s="5">
        <v>145.41999999999999</v>
      </c>
      <c r="K98" t="s">
        <v>156</v>
      </c>
    </row>
    <row r="99" spans="1:11" x14ac:dyDescent="0.3">
      <c r="A99" t="s">
        <v>106</v>
      </c>
      <c r="B99" s="1">
        <v>46080</v>
      </c>
      <c r="C99" t="s">
        <v>125</v>
      </c>
      <c r="D99" t="s">
        <v>126</v>
      </c>
      <c r="E99" t="s">
        <v>134</v>
      </c>
      <c r="F99" t="s">
        <v>138</v>
      </c>
      <c r="G99">
        <v>2</v>
      </c>
      <c r="H99">
        <v>1500</v>
      </c>
      <c r="I99" s="3">
        <v>3000</v>
      </c>
      <c r="J99" s="5">
        <v>652.84</v>
      </c>
      <c r="K99" t="s">
        <v>155</v>
      </c>
    </row>
    <row r="100" spans="1:11" x14ac:dyDescent="0.3">
      <c r="A100" t="s">
        <v>107</v>
      </c>
      <c r="B100" s="1">
        <v>46081</v>
      </c>
      <c r="C100" t="s">
        <v>121</v>
      </c>
      <c r="D100" t="s">
        <v>131</v>
      </c>
      <c r="E100" t="s">
        <v>137</v>
      </c>
      <c r="F100" t="s">
        <v>147</v>
      </c>
      <c r="G100">
        <v>2</v>
      </c>
      <c r="H100">
        <v>2200</v>
      </c>
      <c r="I100" s="3">
        <v>4400</v>
      </c>
      <c r="J100" s="5">
        <v>354.59</v>
      </c>
      <c r="K100" t="s">
        <v>156</v>
      </c>
    </row>
    <row r="101" spans="1:11" x14ac:dyDescent="0.3">
      <c r="A101" t="s">
        <v>108</v>
      </c>
      <c r="B101" s="1">
        <v>46082</v>
      </c>
      <c r="C101" t="s">
        <v>121</v>
      </c>
      <c r="D101" t="s">
        <v>126</v>
      </c>
      <c r="E101" t="s">
        <v>137</v>
      </c>
      <c r="F101" t="s">
        <v>145</v>
      </c>
      <c r="G101">
        <v>3</v>
      </c>
      <c r="H101">
        <v>3800</v>
      </c>
      <c r="I101" s="3">
        <v>11400</v>
      </c>
      <c r="J101" s="5">
        <v>2675.09</v>
      </c>
      <c r="K101" t="s">
        <v>155</v>
      </c>
    </row>
    <row r="102" spans="1:11" x14ac:dyDescent="0.3">
      <c r="A102" t="s">
        <v>109</v>
      </c>
      <c r="B102" s="1">
        <v>46083</v>
      </c>
      <c r="C102" t="s">
        <v>123</v>
      </c>
      <c r="D102" t="s">
        <v>133</v>
      </c>
      <c r="E102" t="s">
        <v>137</v>
      </c>
      <c r="F102" t="s">
        <v>149</v>
      </c>
      <c r="G102">
        <v>1</v>
      </c>
      <c r="H102">
        <v>7000</v>
      </c>
      <c r="I102" s="3">
        <v>7000</v>
      </c>
      <c r="J102" s="5">
        <v>1398.63</v>
      </c>
      <c r="K102" t="s">
        <v>156</v>
      </c>
    </row>
    <row r="103" spans="1:11" x14ac:dyDescent="0.3">
      <c r="A103" t="s">
        <v>110</v>
      </c>
      <c r="B103" s="1">
        <v>46084</v>
      </c>
      <c r="C103" t="s">
        <v>114</v>
      </c>
      <c r="D103" t="s">
        <v>129</v>
      </c>
      <c r="E103" t="s">
        <v>134</v>
      </c>
      <c r="F103" t="s">
        <v>138</v>
      </c>
      <c r="G103">
        <v>2</v>
      </c>
      <c r="H103">
        <v>1500</v>
      </c>
      <c r="I103" s="3">
        <v>3000</v>
      </c>
      <c r="J103" s="5">
        <v>763.13</v>
      </c>
      <c r="K103" t="s">
        <v>157</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pivots</vt:lpstr>
      <vt:lpstr>sales data dashborad</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DARA MAIKEL BABU</cp:lastModifiedBy>
  <dcterms:created xsi:type="dcterms:W3CDTF">2026-09-19T14:16:32Z</dcterms:created>
  <dcterms:modified xsi:type="dcterms:W3CDTF">2026-09-20T06:28:43Z</dcterms:modified>
</cp:coreProperties>
</file>